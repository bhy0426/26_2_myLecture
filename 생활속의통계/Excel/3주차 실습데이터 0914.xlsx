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BS\Desktop\hayeun\26_2_myLecture\생활속의통계\Excel\"/>
    </mc:Choice>
  </mc:AlternateContent>
  <xr:revisionPtr revIDLastSave="0" documentId="13_ncr:1_{CF6864FF-356D-4F34-8A66-989D0E9D9D62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예제1" sheetId="4" r:id="rId1"/>
    <sheet name="실습1" sheetId="5" r:id="rId2"/>
    <sheet name="실습2" sheetId="6" r:id="rId3"/>
    <sheet name="예제2" sheetId="12" r:id="rId4"/>
    <sheet name="실습3" sheetId="13" r:id="rId5"/>
    <sheet name="실습4" sheetId="14" r:id="rId6"/>
    <sheet name="예제3" sheetId="7" r:id="rId7"/>
    <sheet name="실습5" sheetId="9" r:id="rId8"/>
    <sheet name="실습6" sheetId="11" r:id="rId9"/>
    <sheet name="(참고)예제2답안" sheetId="15" r:id="rId10"/>
    <sheet name="(참고)실습3답안" sheetId="16" r:id="rId11"/>
    <sheet name="(참고)실습4답안" sheetId="17" r:id="rId12"/>
  </sheets>
  <definedNames>
    <definedName name="_xlchart.v1.0" hidden="1">예제2!$A$1:$A$10</definedName>
    <definedName name="_xlchart.v1.1" hidden="1">예제2!$A$1:$A$10</definedName>
    <definedName name="_xlchart.v1.10" hidden="1">실습4!$A$1:$A$20</definedName>
    <definedName name="_xlchart.v1.11" hidden="1">실습4!$B$1:$B$20</definedName>
    <definedName name="_xlchart.v1.12" hidden="1">실습4!$A$1:$A$20</definedName>
    <definedName name="_xlchart.v1.13" hidden="1">실습4!$B$1:$B$20</definedName>
    <definedName name="_xlchart.v1.14" hidden="1">'(참고)예제2답안'!$A$1:$A$10</definedName>
    <definedName name="_xlchart.v1.15" hidden="1">'(참고)실습3답안'!$A$1</definedName>
    <definedName name="_xlchart.v1.16" hidden="1">'(참고)실습3답안'!$A$2:$A$12</definedName>
    <definedName name="_xlchart.v1.17" hidden="1">'(참고)실습3답안'!$B$1</definedName>
    <definedName name="_xlchart.v1.18" hidden="1">'(참고)실습3답안'!$B$2:$B$12</definedName>
    <definedName name="_xlchart.v1.19" hidden="1">'(참고)실습4답안'!$A$1:$A$20</definedName>
    <definedName name="_xlchart.v1.2" hidden="1">실습3!$A$1</definedName>
    <definedName name="_xlchart.v1.20" hidden="1">'(참고)실습4답안'!$B$1:$B$20</definedName>
    <definedName name="_xlchart.v1.3" hidden="1">실습3!$A$2:$A$12</definedName>
    <definedName name="_xlchart.v1.4" hidden="1">실습3!$B$1</definedName>
    <definedName name="_xlchart.v1.5" hidden="1">실습3!$B$2:$B$12</definedName>
    <definedName name="_xlchart.v1.6" hidden="1">실습3!$A$2:$A$12</definedName>
    <definedName name="_xlchart.v1.7" hidden="1">실습3!$B$2:$B$12</definedName>
    <definedName name="_xlchart.v1.8" hidden="1">실습4!$A$1:$A$20</definedName>
    <definedName name="_xlchart.v1.9" hidden="1">실습4!$B$1:$B$20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7" l="1"/>
  <c r="D5" i="7"/>
  <c r="D4" i="7"/>
  <c r="D6" i="12"/>
  <c r="D5" i="12"/>
  <c r="D4" i="12"/>
  <c r="D3" i="12"/>
  <c r="D2" i="12"/>
  <c r="D1" i="12"/>
  <c r="J9" i="5"/>
  <c r="J8" i="5"/>
  <c r="I9" i="5"/>
  <c r="I8" i="5"/>
  <c r="D5" i="4"/>
  <c r="D4" i="4"/>
  <c r="J10" i="11"/>
  <c r="J9" i="11"/>
  <c r="J8" i="11"/>
  <c r="I10" i="11"/>
  <c r="I9" i="11"/>
  <c r="I8" i="11"/>
  <c r="J10" i="9"/>
  <c r="I10" i="9"/>
  <c r="J9" i="9"/>
  <c r="I9" i="9"/>
  <c r="J8" i="9"/>
  <c r="I8" i="9"/>
  <c r="J9" i="6"/>
  <c r="I9" i="6"/>
  <c r="J8" i="6"/>
  <c r="I8" i="6"/>
  <c r="F7" i="13"/>
  <c r="F6" i="13"/>
  <c r="F5" i="13"/>
  <c r="F4" i="13"/>
  <c r="F3" i="13"/>
  <c r="F2" i="13"/>
  <c r="E7" i="13"/>
  <c r="E6" i="13"/>
  <c r="E5" i="13"/>
  <c r="E4" i="13"/>
  <c r="E3" i="13"/>
  <c r="E2" i="13"/>
  <c r="D6" i="15" l="1"/>
  <c r="D5" i="15"/>
  <c r="D4" i="15"/>
  <c r="D3" i="15"/>
  <c r="D2" i="15"/>
  <c r="D1" i="15"/>
</calcChain>
</file>

<file path=xl/sharedStrings.xml><?xml version="1.0" encoding="utf-8"?>
<sst xmlns="http://schemas.openxmlformats.org/spreadsheetml/2006/main" count="627" uniqueCount="199">
  <si>
    <t>단위:천만원</t>
    <phoneticPr fontId="1" type="noConversion"/>
  </si>
  <si>
    <t>구분</t>
    <phoneticPr fontId="1" type="noConversion"/>
  </si>
  <si>
    <t>함수</t>
    <phoneticPr fontId="1" type="noConversion"/>
  </si>
  <si>
    <t>평균</t>
    <phoneticPr fontId="1" type="noConversion"/>
  </si>
  <si>
    <t>중앙값</t>
    <phoneticPr fontId="1" type="noConversion"/>
  </si>
  <si>
    <t>출장비</t>
    <phoneticPr fontId="1" type="noConversion"/>
  </si>
  <si>
    <t>사원명</t>
    <phoneticPr fontId="1" type="noConversion"/>
  </si>
  <si>
    <t>부서</t>
    <phoneticPr fontId="1" type="noConversion"/>
  </si>
  <si>
    <t>출장지역</t>
    <phoneticPr fontId="1" type="noConversion"/>
  </si>
  <si>
    <t>출장목적</t>
    <phoneticPr fontId="1" type="noConversion"/>
  </si>
  <si>
    <t>출장일수</t>
    <phoneticPr fontId="1" type="noConversion"/>
  </si>
  <si>
    <t>출장비(원)</t>
    <phoneticPr fontId="1" type="noConversion"/>
  </si>
  <si>
    <t>윤정연</t>
  </si>
  <si>
    <t>총무</t>
    <phoneticPr fontId="1" type="noConversion"/>
  </si>
  <si>
    <t>경기</t>
    <phoneticPr fontId="1" type="noConversion"/>
  </si>
  <si>
    <t>교육</t>
    <phoneticPr fontId="1" type="noConversion"/>
  </si>
  <si>
    <t>서홍석</t>
  </si>
  <si>
    <t>마케팅</t>
    <phoneticPr fontId="1" type="noConversion"/>
  </si>
  <si>
    <t>업무</t>
    <phoneticPr fontId="1" type="noConversion"/>
  </si>
  <si>
    <t>정명진</t>
  </si>
  <si>
    <t>영업</t>
    <phoneticPr fontId="1" type="noConversion"/>
  </si>
  <si>
    <t>경북</t>
    <phoneticPr fontId="1" type="noConversion"/>
  </si>
  <si>
    <t>업무</t>
    <phoneticPr fontId="1" type="noConversion"/>
  </si>
  <si>
    <t>이정민</t>
  </si>
  <si>
    <t>인사</t>
    <phoneticPr fontId="1" type="noConversion"/>
  </si>
  <si>
    <t>강원</t>
    <phoneticPr fontId="1" type="noConversion"/>
  </si>
  <si>
    <t>한재민</t>
  </si>
  <si>
    <t>경기</t>
    <phoneticPr fontId="1" type="noConversion"/>
  </si>
  <si>
    <t>회의</t>
    <phoneticPr fontId="1" type="noConversion"/>
  </si>
  <si>
    <t>정유리</t>
  </si>
  <si>
    <t>경리</t>
    <phoneticPr fontId="1" type="noConversion"/>
  </si>
  <si>
    <t>경기</t>
    <phoneticPr fontId="1" type="noConversion"/>
  </si>
  <si>
    <t>업무</t>
    <phoneticPr fontId="1" type="noConversion"/>
  </si>
  <si>
    <t>고아라</t>
  </si>
  <si>
    <t>총무</t>
    <phoneticPr fontId="1" type="noConversion"/>
  </si>
  <si>
    <t>경남</t>
    <phoneticPr fontId="1" type="noConversion"/>
  </si>
  <si>
    <t>업무</t>
    <phoneticPr fontId="1" type="noConversion"/>
  </si>
  <si>
    <t>배현주</t>
  </si>
  <si>
    <t>경남</t>
    <phoneticPr fontId="1" type="noConversion"/>
  </si>
  <si>
    <t>업무</t>
    <phoneticPr fontId="1" type="noConversion"/>
  </si>
  <si>
    <t>장미소</t>
  </si>
  <si>
    <t>인사</t>
    <phoneticPr fontId="1" type="noConversion"/>
  </si>
  <si>
    <t>서울</t>
    <phoneticPr fontId="1" type="noConversion"/>
  </si>
  <si>
    <t>교육</t>
    <phoneticPr fontId="1" type="noConversion"/>
  </si>
  <si>
    <t>홍슬기</t>
  </si>
  <si>
    <t>영업</t>
    <phoneticPr fontId="1" type="noConversion"/>
  </si>
  <si>
    <t>서울</t>
    <phoneticPr fontId="1" type="noConversion"/>
  </si>
  <si>
    <t>회의</t>
    <phoneticPr fontId="1" type="noConversion"/>
  </si>
  <si>
    <t>박혜미</t>
  </si>
  <si>
    <t>구매</t>
    <phoneticPr fontId="1" type="noConversion"/>
  </si>
  <si>
    <t>유유정</t>
  </si>
  <si>
    <t>경리</t>
    <phoneticPr fontId="1" type="noConversion"/>
  </si>
  <si>
    <t>경기</t>
    <phoneticPr fontId="1" type="noConversion"/>
  </si>
  <si>
    <t>경남</t>
    <phoneticPr fontId="1" type="noConversion"/>
  </si>
  <si>
    <t>김유나</t>
  </si>
  <si>
    <t>구매</t>
    <phoneticPr fontId="1" type="noConversion"/>
  </si>
  <si>
    <t>충남</t>
    <phoneticPr fontId="1" type="noConversion"/>
  </si>
  <si>
    <t>교육</t>
    <phoneticPr fontId="1" type="noConversion"/>
  </si>
  <si>
    <t>김보미</t>
  </si>
  <si>
    <t>인사</t>
    <phoneticPr fontId="1" type="noConversion"/>
  </si>
  <si>
    <t>서울</t>
    <phoneticPr fontId="1" type="noConversion"/>
  </si>
  <si>
    <t>회의</t>
    <phoneticPr fontId="1" type="noConversion"/>
  </si>
  <si>
    <t>이혜수</t>
  </si>
  <si>
    <t>마케팅</t>
    <phoneticPr fontId="1" type="noConversion"/>
  </si>
  <si>
    <t>서울</t>
    <phoneticPr fontId="1" type="noConversion"/>
  </si>
  <si>
    <t>남사라</t>
  </si>
  <si>
    <t>영업</t>
    <phoneticPr fontId="1" type="noConversion"/>
  </si>
  <si>
    <t>충북</t>
    <phoneticPr fontId="1" type="noConversion"/>
  </si>
  <si>
    <t>이슬기</t>
  </si>
  <si>
    <t>회의</t>
    <phoneticPr fontId="1" type="noConversion"/>
  </si>
  <si>
    <t>오윤경</t>
  </si>
  <si>
    <t>영업</t>
    <phoneticPr fontId="1" type="noConversion"/>
  </si>
  <si>
    <t>충남</t>
    <phoneticPr fontId="1" type="noConversion"/>
  </si>
  <si>
    <t>업무</t>
    <phoneticPr fontId="1" type="noConversion"/>
  </si>
  <si>
    <t>조인택</t>
  </si>
  <si>
    <t>구매</t>
    <phoneticPr fontId="1" type="noConversion"/>
  </si>
  <si>
    <t>전북</t>
    <phoneticPr fontId="1" type="noConversion"/>
  </si>
  <si>
    <t>경기</t>
    <phoneticPr fontId="1" type="noConversion"/>
  </si>
  <si>
    <t>회의</t>
    <phoneticPr fontId="1" type="noConversion"/>
  </si>
  <si>
    <t>박성수</t>
  </si>
  <si>
    <t>경북</t>
    <phoneticPr fontId="1" type="noConversion"/>
  </si>
  <si>
    <t>회의</t>
    <phoneticPr fontId="1" type="noConversion"/>
  </si>
  <si>
    <t>서울</t>
    <phoneticPr fontId="1" type="noConversion"/>
  </si>
  <si>
    <t>회의</t>
    <phoneticPr fontId="1" type="noConversion"/>
  </si>
  <si>
    <t>김하은</t>
  </si>
  <si>
    <t>장현경</t>
  </si>
  <si>
    <t>영업</t>
    <phoneticPr fontId="1" type="noConversion"/>
  </si>
  <si>
    <t>전남</t>
    <phoneticPr fontId="1" type="noConversion"/>
  </si>
  <si>
    <t>이소진</t>
  </si>
  <si>
    <t>교육</t>
    <phoneticPr fontId="1" type="noConversion"/>
  </si>
  <si>
    <t>염정은</t>
  </si>
  <si>
    <t>전남</t>
    <phoneticPr fontId="1" type="noConversion"/>
  </si>
  <si>
    <t>채은지</t>
  </si>
  <si>
    <t>강원</t>
    <phoneticPr fontId="1" type="noConversion"/>
  </si>
  <si>
    <t>전지영</t>
  </si>
  <si>
    <t>김지혜</t>
  </si>
  <si>
    <t>서울</t>
    <phoneticPr fontId="1" type="noConversion"/>
  </si>
  <si>
    <t>이미향</t>
  </si>
  <si>
    <t>총무</t>
    <phoneticPr fontId="1" type="noConversion"/>
  </si>
  <si>
    <t>경기</t>
    <phoneticPr fontId="1" type="noConversion"/>
  </si>
  <si>
    <t>김영희</t>
  </si>
  <si>
    <t>인사</t>
    <phoneticPr fontId="1" type="noConversion"/>
  </si>
  <si>
    <t>충남</t>
    <phoneticPr fontId="1" type="noConversion"/>
  </si>
  <si>
    <t>민수인</t>
  </si>
  <si>
    <t>박민철</t>
  </si>
  <si>
    <t>영업</t>
    <phoneticPr fontId="1" type="noConversion"/>
  </si>
  <si>
    <t>장소라</t>
  </si>
  <si>
    <t>마케팅</t>
    <phoneticPr fontId="1" type="noConversion"/>
  </si>
  <si>
    <t>강원</t>
    <phoneticPr fontId="1" type="noConversion"/>
  </si>
  <si>
    <t>송유나</t>
  </si>
  <si>
    <t>제주</t>
    <phoneticPr fontId="1" type="noConversion"/>
  </si>
  <si>
    <t>직원급여</t>
    <phoneticPr fontId="1" type="noConversion"/>
  </si>
  <si>
    <t>사원명</t>
    <phoneticPr fontId="1" type="noConversion"/>
  </si>
  <si>
    <t>부서</t>
    <phoneticPr fontId="1" type="noConversion"/>
  </si>
  <si>
    <t>성별</t>
    <phoneticPr fontId="1" type="noConversion"/>
  </si>
  <si>
    <t>직위</t>
    <phoneticPr fontId="1" type="noConversion"/>
  </si>
  <si>
    <t>기본급</t>
    <phoneticPr fontId="1" type="noConversion"/>
  </si>
  <si>
    <t>가족수당</t>
    <phoneticPr fontId="1" type="noConversion"/>
  </si>
  <si>
    <t>윤정연</t>
    <phoneticPr fontId="1" type="noConversion"/>
  </si>
  <si>
    <t>총무</t>
    <phoneticPr fontId="1" type="noConversion"/>
  </si>
  <si>
    <t>남</t>
    <phoneticPr fontId="1" type="noConversion"/>
  </si>
  <si>
    <t>과장</t>
    <phoneticPr fontId="1" type="noConversion"/>
  </si>
  <si>
    <t>고아라</t>
    <phoneticPr fontId="1" type="noConversion"/>
  </si>
  <si>
    <t>마케팅</t>
    <phoneticPr fontId="1" type="noConversion"/>
  </si>
  <si>
    <t>여</t>
    <phoneticPr fontId="1" type="noConversion"/>
  </si>
  <si>
    <t>대리</t>
    <phoneticPr fontId="1" type="noConversion"/>
  </si>
  <si>
    <t>김치호</t>
    <phoneticPr fontId="1" type="noConversion"/>
  </si>
  <si>
    <t>영업</t>
    <phoneticPr fontId="1" type="noConversion"/>
  </si>
  <si>
    <t>남</t>
    <phoneticPr fontId="1" type="noConversion"/>
  </si>
  <si>
    <t>사원</t>
    <phoneticPr fontId="1" type="noConversion"/>
  </si>
  <si>
    <t>김정녕</t>
    <phoneticPr fontId="1" type="noConversion"/>
  </si>
  <si>
    <t>인사</t>
    <phoneticPr fontId="1" type="noConversion"/>
  </si>
  <si>
    <t>과장</t>
    <phoneticPr fontId="1" type="noConversion"/>
  </si>
  <si>
    <t>박지수</t>
    <phoneticPr fontId="1" type="noConversion"/>
  </si>
  <si>
    <t>영업</t>
    <phoneticPr fontId="1" type="noConversion"/>
  </si>
  <si>
    <t>이정민</t>
    <phoneticPr fontId="1" type="noConversion"/>
  </si>
  <si>
    <t>경리</t>
    <phoneticPr fontId="1" type="noConversion"/>
  </si>
  <si>
    <t>한재민</t>
    <phoneticPr fontId="1" type="noConversion"/>
  </si>
  <si>
    <t>차장</t>
    <phoneticPr fontId="1" type="noConversion"/>
  </si>
  <si>
    <t>정유리</t>
    <phoneticPr fontId="1" type="noConversion"/>
  </si>
  <si>
    <t>영업</t>
    <phoneticPr fontId="1" type="noConversion"/>
  </si>
  <si>
    <t>여</t>
    <phoneticPr fontId="1" type="noConversion"/>
  </si>
  <si>
    <t>서홍석</t>
    <phoneticPr fontId="1" type="noConversion"/>
  </si>
  <si>
    <t>인사</t>
    <phoneticPr fontId="1" type="noConversion"/>
  </si>
  <si>
    <t>부장</t>
    <phoneticPr fontId="1" type="noConversion"/>
  </si>
  <si>
    <t>배현주</t>
    <phoneticPr fontId="1" type="noConversion"/>
  </si>
  <si>
    <t>장미소</t>
    <phoneticPr fontId="1" type="noConversion"/>
  </si>
  <si>
    <t>마케팅</t>
    <phoneticPr fontId="1" type="noConversion"/>
  </si>
  <si>
    <t>장장수</t>
    <phoneticPr fontId="1" type="noConversion"/>
  </si>
  <si>
    <t>구매</t>
    <phoneticPr fontId="1" type="noConversion"/>
  </si>
  <si>
    <t>박혜미</t>
    <phoneticPr fontId="1" type="noConversion"/>
  </si>
  <si>
    <t>유유정</t>
    <phoneticPr fontId="1" type="noConversion"/>
  </si>
  <si>
    <t>한미정</t>
    <phoneticPr fontId="1" type="noConversion"/>
  </si>
  <si>
    <t>조인택</t>
    <phoneticPr fontId="1" type="noConversion"/>
  </si>
  <si>
    <t>김보미</t>
    <phoneticPr fontId="1" type="noConversion"/>
  </si>
  <si>
    <t>마케팅</t>
    <phoneticPr fontId="1" type="noConversion"/>
  </si>
  <si>
    <t>여</t>
    <phoneticPr fontId="1" type="noConversion"/>
  </si>
  <si>
    <t>사원</t>
    <phoneticPr fontId="1" type="noConversion"/>
  </si>
  <si>
    <t>이혜수</t>
    <phoneticPr fontId="1" type="noConversion"/>
  </si>
  <si>
    <t>남사라</t>
    <phoneticPr fontId="1" type="noConversion"/>
  </si>
  <si>
    <t>구매</t>
    <phoneticPr fontId="1" type="noConversion"/>
  </si>
  <si>
    <t>과장</t>
    <phoneticPr fontId="1" type="noConversion"/>
  </si>
  <si>
    <t>정명진</t>
    <phoneticPr fontId="1" type="noConversion"/>
  </si>
  <si>
    <t>김유나</t>
    <phoneticPr fontId="1" type="noConversion"/>
  </si>
  <si>
    <t>박성수</t>
    <phoneticPr fontId="1" type="noConversion"/>
  </si>
  <si>
    <t>남</t>
    <phoneticPr fontId="1" type="noConversion"/>
  </si>
  <si>
    <t>하태훈</t>
    <phoneticPr fontId="1" type="noConversion"/>
  </si>
  <si>
    <t>구매</t>
    <phoneticPr fontId="1" type="noConversion"/>
  </si>
  <si>
    <t>차장</t>
    <phoneticPr fontId="1" type="noConversion"/>
  </si>
  <si>
    <t>김하은</t>
    <phoneticPr fontId="1" type="noConversion"/>
  </si>
  <si>
    <t>대리</t>
    <phoneticPr fontId="1" type="noConversion"/>
  </si>
  <si>
    <t>장현경</t>
    <phoneticPr fontId="1" type="noConversion"/>
  </si>
  <si>
    <t>경리</t>
    <phoneticPr fontId="1" type="noConversion"/>
  </si>
  <si>
    <t>표1. 평균과 중앙값</t>
    <phoneticPr fontId="1" type="noConversion"/>
  </si>
  <si>
    <t>표2. 평균과 중앙값</t>
    <phoneticPr fontId="1" type="noConversion"/>
  </si>
  <si>
    <t>결과 (함수를 입력하여 값을 구하세요)</t>
    <phoneticPr fontId="1" type="noConversion"/>
  </si>
  <si>
    <t>범위</t>
    <phoneticPr fontId="1" type="noConversion"/>
  </si>
  <si>
    <t>분산</t>
    <phoneticPr fontId="1" type="noConversion"/>
  </si>
  <si>
    <t>표준편차</t>
    <phoneticPr fontId="1" type="noConversion"/>
  </si>
  <si>
    <t>표3. 범위, 분산, 표준편차</t>
    <phoneticPr fontId="1" type="noConversion"/>
  </si>
  <si>
    <t>표4. 범위, 분산, 표준편차</t>
    <phoneticPr fontId="1" type="noConversion"/>
  </si>
  <si>
    <t>Group 1</t>
    <phoneticPr fontId="1" type="noConversion"/>
  </si>
  <si>
    <t>Group 2</t>
    <phoneticPr fontId="1" type="noConversion"/>
  </si>
  <si>
    <t xml:space="preserve">[실습1] 
어느 회사의 출장비 데이터를 이용하여 출장일수와 출장비에 대해 평균, 중앙값을 계산하여 표1을 채우세요.
</t>
    <phoneticPr fontId="1" type="noConversion"/>
  </si>
  <si>
    <t>최솟값</t>
    <phoneticPr fontId="1" type="noConversion"/>
  </si>
  <si>
    <t>1사분위수</t>
    <phoneticPr fontId="1" type="noConversion"/>
  </si>
  <si>
    <t>3사분위수</t>
    <phoneticPr fontId="1" type="noConversion"/>
  </si>
  <si>
    <t>최댓값</t>
    <phoneticPr fontId="1" type="noConversion"/>
  </si>
  <si>
    <t xml:space="preserve">[실습 5] 
어느 회사의 출장비 데이터를 이용하여 출장일수와 출장비에 대해 
범위, 분산, 표준편차를 계산하여 표3을 채우세요. 
</t>
    <phoneticPr fontId="1" type="noConversion"/>
  </si>
  <si>
    <t xml:space="preserve">[실습 6]
어느 회사의 직원급여 데이터를 이용하여 기본급, 가족수당에 대해 
범위, 분산, 표준편차를 계산하여 표4를 채우세요.
</t>
    <phoneticPr fontId="1" type="noConversion"/>
  </si>
  <si>
    <t xml:space="preserve">[실습2]
어느 회사의 직원급여 데이터를 이용하여 기본급, 가족수당에 대해 
평균, 중앙값을 계산하여 표2를 채우세요. 
</t>
    <phoneticPr fontId="1" type="noConversion"/>
  </si>
  <si>
    <t>min</t>
    <phoneticPr fontId="1" type="noConversion"/>
  </si>
  <si>
    <t>q1</t>
    <phoneticPr fontId="1" type="noConversion"/>
  </si>
  <si>
    <t>median</t>
    <phoneticPr fontId="1" type="noConversion"/>
  </si>
  <si>
    <t>q3</t>
    <phoneticPr fontId="1" type="noConversion"/>
  </si>
  <si>
    <t>max</t>
    <phoneticPr fontId="1" type="noConversion"/>
  </si>
  <si>
    <t>mean</t>
    <phoneticPr fontId="1" type="noConversion"/>
  </si>
  <si>
    <t>group1</t>
    <phoneticPr fontId="1" type="noConversion"/>
  </si>
  <si>
    <t>group2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</si>
</sst>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나눔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176" fontId="2" fillId="0" borderId="0" xfId="0" applyNumberFormat="1" applyFont="1" applyAlignment="1">
      <alignment horizontal="right"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1" xfId="0" applyNumberFormat="1" applyFill="1" applyBorder="1" applyAlignment="1">
      <alignment horizontal="left" vertical="center"/>
    </xf>
    <xf numFmtId="41" fontId="0" fillId="3" borderId="1" xfId="0" applyNumberFormat="1" applyFill="1" applyBorder="1">
      <alignment vertical="center"/>
    </xf>
    <xf numFmtId="0" fontId="0" fillId="0" borderId="0" xfId="0" quotePrefix="1">
      <alignment vertical="center"/>
    </xf>
    <xf numFmtId="41" fontId="0" fillId="0" borderId="0" xfId="0" applyNumberFormat="1">
      <alignment vertical="center"/>
    </xf>
    <xf numFmtId="176" fontId="0" fillId="0" borderId="0" xfId="0" quotePrefix="1" applyNumberFormat="1">
      <alignment vertical="center"/>
    </xf>
    <xf numFmtId="2" fontId="0" fillId="0" borderId="0" xfId="0" quotePrefix="1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7C4B-4845-9F37-04791A342BD4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</cx:chartData>
  <cx:chart>
    <cx:title pos="t" align="ctr" overlay="0"/>
    <cx:plotArea>
      <cx:plotAreaRegion>
        <cx:series layoutId="boxWhisker" uniqueId="{00000000-13E5-41FE-956C-2C9B7A2984A3}">
          <cx:tx>
            <cx:txData>
              <cx:f>_xlchart.v1.2</cx:f>
              <cx:v>Group 1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3E5-41FE-956C-2C9B7A2984A3}">
          <cx:tx>
            <cx:txData>
              <cx:f>_xlchart.v1.4</cx:f>
              <cx:v>Group 2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</cx:chartData>
  <cx:chart>
    <cx:title pos="t" align="ctr" overlay="0"/>
    <cx:plotArea>
      <cx:plotAreaRegion>
        <cx:series layoutId="boxWhisker" uniqueId="{00000000-0D77-4A19-AF89-3AAAF67272D9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D77-4A19-AF89-3AAAF67272D9}"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/>
    <cx:plotArea>
      <cx:plotAreaRegion>
        <cx:series layoutId="boxWhisker" uniqueId="{00000000-9164-4E7B-B775-F2AA66E32832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/>
    <cx:plotArea>
      <cx:plotAreaRegion>
        <cx:series layoutId="boxWhisker" uniqueId="{D74D6448-9076-41B4-A959-B5002E1B1A90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  <cx:data id="1">
      <cx:numDim type="val">
        <cx:f>_xlchart.v1.18</cx:f>
      </cx:numDim>
    </cx:data>
  </cx:chartData>
  <cx:chart>
    <cx:title pos="t" align="ctr" overlay="0"/>
    <cx:plotArea>
      <cx:plotAreaRegion>
        <cx:series layoutId="boxWhisker" uniqueId="{7EABB7CF-5978-42BC-BF41-7B3568A26141}">
          <cx:tx>
            <cx:txData>
              <cx:f>_xlchart.v1.15</cx:f>
              <cx:v>Group 1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1B4E5FB-D293-46D2-99F1-7AF3C4A53DAB}">
          <cx:tx>
            <cx:txData>
              <cx:f>_xlchart.v1.17</cx:f>
              <cx:v>Group 2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val">
        <cx:f>_xlchart.v1.20</cx:f>
      </cx:numDim>
    </cx:data>
  </cx:chartData>
  <cx:chart>
    <cx:title pos="t" align="ctr" overlay="0"/>
    <cx:plotArea>
      <cx:plotAreaRegion>
        <cx:series layoutId="boxWhisker" uniqueId="{36991BD2-E1EA-436D-BFEC-F2046105C3F2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645318</xdr:colOff>
      <xdr:row>3</xdr:row>
      <xdr:rowOff>119062</xdr:rowOff>
    </xdr:from>
    <xdr:to>
      <xdr:col>12</xdr:col>
      <xdr:colOff>416718</xdr:colOff>
      <xdr:row>16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6A540D1F-8951-0042-72D8-A8FBEBE67E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4318" y="762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216693</xdr:colOff>
      <xdr:row>5</xdr:row>
      <xdr:rowOff>204787</xdr:rowOff>
    </xdr:from>
    <xdr:to>
      <xdr:col>12</xdr:col>
      <xdr:colOff>673893</xdr:colOff>
      <xdr:row>18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DF47B6A9-8409-306C-B454-32DFD3A3ED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1493" y="1276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0</xdr:col>
      <xdr:colOff>428625</xdr:colOff>
      <xdr:row>15</xdr:row>
      <xdr:rowOff>180975</xdr:rowOff>
    </xdr:from>
    <xdr:to>
      <xdr:col>7</xdr:col>
      <xdr:colOff>200025</xdr:colOff>
      <xdr:row>28</xdr:row>
      <xdr:rowOff>200025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차트 3">
              <a:extLst>
                <a:ext uri="{FF2B5EF4-FFF2-40B4-BE49-F238E27FC236}">
                  <a16:creationId xmlns:a16="http://schemas.microsoft.com/office/drawing/2014/main" id="{E99BC11C-BCB9-FFDE-3AE5-4A5BCAADD3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625" y="3395663"/>
              <a:ext cx="4572000" cy="28051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216693</xdr:colOff>
      <xdr:row>5</xdr:row>
      <xdr:rowOff>204787</xdr:rowOff>
    </xdr:from>
    <xdr:to>
      <xdr:col>12</xdr:col>
      <xdr:colOff>673893</xdr:colOff>
      <xdr:row>18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차트 3">
              <a:extLst>
                <a:ext uri="{FF2B5EF4-FFF2-40B4-BE49-F238E27FC236}">
                  <a16:creationId xmlns:a16="http://schemas.microsoft.com/office/drawing/2014/main" id="{D920761D-907F-0ADC-F950-57EFFC58CF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1493" y="1276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453390</xdr:colOff>
      <xdr:row>0</xdr:row>
      <xdr:rowOff>0</xdr:rowOff>
    </xdr:from>
    <xdr:to>
      <xdr:col>12</xdr:col>
      <xdr:colOff>586740</xdr:colOff>
      <xdr:row>15</xdr:row>
      <xdr:rowOff>110490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7D944AEB-8C19-596A-8A1F-DC44175C1C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8490" y="0"/>
              <a:ext cx="5543550" cy="33251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537210</xdr:colOff>
      <xdr:row>0</xdr:row>
      <xdr:rowOff>0</xdr:rowOff>
    </xdr:from>
    <xdr:to>
      <xdr:col>12</xdr:col>
      <xdr:colOff>228600</xdr:colOff>
      <xdr:row>16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3F4854B3-EEF7-46F2-83F3-3DA06F4B88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66035" y="0"/>
              <a:ext cx="5777865" cy="3486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0</xdr:row>
      <xdr:rowOff>0</xdr:rowOff>
    </xdr:from>
    <xdr:to>
      <xdr:col>11</xdr:col>
      <xdr:colOff>392430</xdr:colOff>
      <xdr:row>12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44F89936-6664-4A2F-89E3-20E8CD0BF3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9450" y="0"/>
              <a:ext cx="4612005" cy="2663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workbookViewId="0">
      <selection activeCell="E4" sqref="E4"/>
    </sheetView>
  </sheetViews>
  <sheetFormatPr defaultRowHeight="16.899999999999999" x14ac:dyDescent="0.6"/>
  <cols>
    <col min="3" max="3" width="13.625" customWidth="1"/>
    <col min="5" max="5" width="14.375" customWidth="1"/>
    <col min="6" max="6" width="5" customWidth="1"/>
    <col min="7" max="7" width="18" customWidth="1"/>
  </cols>
  <sheetData>
    <row r="1" spans="1:7" x14ac:dyDescent="0.6">
      <c r="A1" s="1">
        <v>50</v>
      </c>
      <c r="C1" t="s">
        <v>0</v>
      </c>
    </row>
    <row r="2" spans="1:7" x14ac:dyDescent="0.6">
      <c r="A2" s="1">
        <v>31</v>
      </c>
    </row>
    <row r="3" spans="1:7" x14ac:dyDescent="0.6">
      <c r="A3" s="1">
        <v>36</v>
      </c>
      <c r="C3" t="s">
        <v>1</v>
      </c>
      <c r="D3" t="s">
        <v>2</v>
      </c>
      <c r="G3" t="s">
        <v>175</v>
      </c>
    </row>
    <row r="4" spans="1:7" x14ac:dyDescent="0.6">
      <c r="A4" s="1">
        <v>40</v>
      </c>
      <c r="C4" t="s">
        <v>3</v>
      </c>
      <c r="D4" s="15">
        <f>AVERAGE(A1:A40)</f>
        <v>64.5</v>
      </c>
      <c r="G4" s="2"/>
    </row>
    <row r="5" spans="1:7" x14ac:dyDescent="0.6">
      <c r="A5" s="1">
        <v>45</v>
      </c>
      <c r="C5" t="s">
        <v>4</v>
      </c>
      <c r="D5" s="15">
        <f>MEDIAN(A1:A40)</f>
        <v>57.5</v>
      </c>
      <c r="G5" s="2"/>
    </row>
    <row r="6" spans="1:7" x14ac:dyDescent="0.6">
      <c r="A6" s="1">
        <v>60</v>
      </c>
    </row>
    <row r="7" spans="1:7" x14ac:dyDescent="0.6">
      <c r="A7" s="1">
        <v>76</v>
      </c>
    </row>
    <row r="8" spans="1:7" x14ac:dyDescent="0.6">
      <c r="A8" s="1">
        <v>100</v>
      </c>
    </row>
    <row r="9" spans="1:7" x14ac:dyDescent="0.6">
      <c r="A9" s="1">
        <v>78</v>
      </c>
    </row>
    <row r="10" spans="1:7" x14ac:dyDescent="0.6">
      <c r="A10" s="1">
        <v>40</v>
      </c>
    </row>
    <row r="11" spans="1:7" x14ac:dyDescent="0.6">
      <c r="A11" s="1">
        <v>30</v>
      </c>
    </row>
    <row r="12" spans="1:7" x14ac:dyDescent="0.6">
      <c r="A12" s="1">
        <v>50</v>
      </c>
    </row>
    <row r="13" spans="1:7" x14ac:dyDescent="0.6">
      <c r="A13" s="1">
        <v>48</v>
      </c>
    </row>
    <row r="14" spans="1:7" x14ac:dyDescent="0.6">
      <c r="A14" s="1">
        <v>40</v>
      </c>
    </row>
    <row r="15" spans="1:7" x14ac:dyDescent="0.6">
      <c r="A15" s="1">
        <v>63</v>
      </c>
    </row>
    <row r="16" spans="1:7" x14ac:dyDescent="0.6">
      <c r="A16" s="1">
        <v>150</v>
      </c>
    </row>
    <row r="17" spans="1:1" x14ac:dyDescent="0.6">
      <c r="A17" s="1">
        <v>70</v>
      </c>
    </row>
    <row r="18" spans="1:1" x14ac:dyDescent="0.6">
      <c r="A18" s="1">
        <v>32</v>
      </c>
    </row>
    <row r="19" spans="1:1" x14ac:dyDescent="0.6">
      <c r="A19" s="1">
        <v>38</v>
      </c>
    </row>
    <row r="20" spans="1:1" x14ac:dyDescent="0.6">
      <c r="A20" s="1">
        <v>50</v>
      </c>
    </row>
    <row r="21" spans="1:1" x14ac:dyDescent="0.6">
      <c r="A21" s="1">
        <v>150</v>
      </c>
    </row>
    <row r="22" spans="1:1" x14ac:dyDescent="0.6">
      <c r="A22" s="1">
        <v>110</v>
      </c>
    </row>
    <row r="23" spans="1:1" x14ac:dyDescent="0.6">
      <c r="A23" s="1">
        <v>60</v>
      </c>
    </row>
    <row r="24" spans="1:1" x14ac:dyDescent="0.6">
      <c r="A24" s="1">
        <v>60</v>
      </c>
    </row>
    <row r="25" spans="1:1" x14ac:dyDescent="0.6">
      <c r="A25" s="1">
        <v>30</v>
      </c>
    </row>
    <row r="26" spans="1:1" x14ac:dyDescent="0.6">
      <c r="A26" s="1">
        <v>50</v>
      </c>
    </row>
    <row r="27" spans="1:1" x14ac:dyDescent="0.6">
      <c r="A27" s="1">
        <v>80</v>
      </c>
    </row>
    <row r="28" spans="1:1" x14ac:dyDescent="0.6">
      <c r="A28" s="1">
        <v>40</v>
      </c>
    </row>
    <row r="29" spans="1:1" x14ac:dyDescent="0.6">
      <c r="A29" s="1">
        <v>110</v>
      </c>
    </row>
    <row r="30" spans="1:1" x14ac:dyDescent="0.6">
      <c r="A30" s="1">
        <v>55</v>
      </c>
    </row>
    <row r="31" spans="1:1" x14ac:dyDescent="0.6">
      <c r="A31" s="1">
        <v>50</v>
      </c>
    </row>
    <row r="32" spans="1:1" x14ac:dyDescent="0.6">
      <c r="A32" s="1">
        <v>60</v>
      </c>
    </row>
    <row r="33" spans="1:1" x14ac:dyDescent="0.6">
      <c r="A33" s="1">
        <v>80</v>
      </c>
    </row>
    <row r="34" spans="1:1" x14ac:dyDescent="0.6">
      <c r="A34" s="1">
        <v>33</v>
      </c>
    </row>
    <row r="35" spans="1:1" x14ac:dyDescent="0.6">
      <c r="A35" s="1">
        <v>120</v>
      </c>
    </row>
    <row r="36" spans="1:1" x14ac:dyDescent="0.6">
      <c r="A36" s="1">
        <v>65</v>
      </c>
    </row>
    <row r="37" spans="1:1" x14ac:dyDescent="0.6">
      <c r="A37" s="1">
        <v>90</v>
      </c>
    </row>
    <row r="38" spans="1:1" x14ac:dyDescent="0.6">
      <c r="A38" s="1">
        <v>30</v>
      </c>
    </row>
    <row r="39" spans="1:1" x14ac:dyDescent="0.6">
      <c r="A39" s="1">
        <v>100</v>
      </c>
    </row>
    <row r="40" spans="1:1" x14ac:dyDescent="0.6">
      <c r="A40" s="1">
        <v>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"/>
  <sheetViews>
    <sheetView workbookViewId="0">
      <selection activeCell="J10" sqref="J10"/>
    </sheetView>
  </sheetViews>
  <sheetFormatPr defaultRowHeight="16.899999999999999" x14ac:dyDescent="0.6"/>
  <cols>
    <col min="6" max="6" width="9.375" bestFit="1" customWidth="1"/>
    <col min="8" max="11" width="10.75" customWidth="1"/>
  </cols>
  <sheetData>
    <row r="1" spans="1:10" x14ac:dyDescent="0.6">
      <c r="A1" s="17" t="s">
        <v>183</v>
      </c>
      <c r="B1" s="18"/>
      <c r="C1" s="18"/>
      <c r="D1" s="18"/>
      <c r="E1" s="18"/>
      <c r="F1" s="18"/>
      <c r="G1" s="18"/>
    </row>
    <row r="2" spans="1:10" x14ac:dyDescent="0.6">
      <c r="A2" s="18"/>
      <c r="B2" s="18"/>
      <c r="C2" s="18"/>
      <c r="D2" s="18"/>
      <c r="E2" s="18"/>
      <c r="F2" s="18"/>
      <c r="G2" s="18"/>
    </row>
    <row r="3" spans="1:10" x14ac:dyDescent="0.6">
      <c r="A3" s="18"/>
      <c r="B3" s="18"/>
      <c r="C3" s="18"/>
      <c r="D3" s="18"/>
      <c r="E3" s="18"/>
      <c r="F3" s="18"/>
      <c r="G3" s="18"/>
    </row>
    <row r="5" spans="1:10" x14ac:dyDescent="0.6">
      <c r="A5" t="s">
        <v>5</v>
      </c>
      <c r="H5" s="19" t="s">
        <v>173</v>
      </c>
      <c r="I5" s="19"/>
      <c r="J5" s="19"/>
    </row>
    <row r="7" spans="1:10" x14ac:dyDescent="0.6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H7" s="10"/>
      <c r="I7" s="10" t="s">
        <v>10</v>
      </c>
      <c r="J7" s="10" t="s">
        <v>5</v>
      </c>
    </row>
    <row r="8" spans="1:10" x14ac:dyDescent="0.6">
      <c r="A8" s="4" t="s">
        <v>12</v>
      </c>
      <c r="B8" s="5" t="s">
        <v>13</v>
      </c>
      <c r="C8" s="5" t="s">
        <v>14</v>
      </c>
      <c r="D8" s="5" t="s">
        <v>15</v>
      </c>
      <c r="E8" s="5">
        <v>2</v>
      </c>
      <c r="F8" s="6">
        <v>63000</v>
      </c>
      <c r="H8" s="10" t="s">
        <v>3</v>
      </c>
      <c r="I8" s="10">
        <f>AVERAGE(E8:E44)</f>
        <v>2.9729729729729728</v>
      </c>
      <c r="J8" s="11">
        <f>AVERAGE(F8:F44)</f>
        <v>114756.75675675676</v>
      </c>
    </row>
    <row r="9" spans="1:10" x14ac:dyDescent="0.6">
      <c r="A9" s="4" t="s">
        <v>16</v>
      </c>
      <c r="B9" s="5" t="s">
        <v>17</v>
      </c>
      <c r="C9" s="5" t="s">
        <v>14</v>
      </c>
      <c r="D9" s="5" t="s">
        <v>18</v>
      </c>
      <c r="E9" s="5">
        <v>4</v>
      </c>
      <c r="F9" s="6">
        <v>127000</v>
      </c>
      <c r="H9" s="10" t="s">
        <v>4</v>
      </c>
      <c r="I9" s="11">
        <f>MEDIAN(E8:E44)</f>
        <v>2</v>
      </c>
      <c r="J9" s="11">
        <f>MEDIAN(F8:F44)</f>
        <v>83000</v>
      </c>
    </row>
    <row r="10" spans="1:10" x14ac:dyDescent="0.6">
      <c r="A10" s="7" t="s">
        <v>19</v>
      </c>
      <c r="B10" s="5" t="s">
        <v>20</v>
      </c>
      <c r="C10" s="5" t="s">
        <v>21</v>
      </c>
      <c r="D10" s="5" t="s">
        <v>22</v>
      </c>
      <c r="E10" s="5">
        <v>7</v>
      </c>
      <c r="F10" s="6">
        <v>303000</v>
      </c>
    </row>
    <row r="11" spans="1:10" x14ac:dyDescent="0.6">
      <c r="A11" s="4" t="s">
        <v>23</v>
      </c>
      <c r="B11" s="5" t="s">
        <v>24</v>
      </c>
      <c r="C11" s="5" t="s">
        <v>25</v>
      </c>
      <c r="D11" s="5" t="s">
        <v>15</v>
      </c>
      <c r="E11" s="5">
        <v>3</v>
      </c>
      <c r="F11" s="6">
        <v>123000</v>
      </c>
    </row>
    <row r="12" spans="1:10" x14ac:dyDescent="0.6">
      <c r="A12" s="4" t="s">
        <v>26</v>
      </c>
      <c r="B12" s="5" t="s">
        <v>20</v>
      </c>
      <c r="C12" s="5" t="s">
        <v>27</v>
      </c>
      <c r="D12" s="5" t="s">
        <v>28</v>
      </c>
      <c r="E12" s="5">
        <v>2</v>
      </c>
      <c r="F12" s="6">
        <v>63000</v>
      </c>
    </row>
    <row r="13" spans="1:10" x14ac:dyDescent="0.6">
      <c r="A13" s="7" t="s">
        <v>29</v>
      </c>
      <c r="B13" s="5" t="s">
        <v>30</v>
      </c>
      <c r="C13" s="5" t="s">
        <v>31</v>
      </c>
      <c r="D13" s="5" t="s">
        <v>32</v>
      </c>
      <c r="E13" s="5">
        <v>3</v>
      </c>
      <c r="F13" s="6">
        <v>95000</v>
      </c>
    </row>
    <row r="14" spans="1:10" x14ac:dyDescent="0.6">
      <c r="A14" s="4" t="s">
        <v>33</v>
      </c>
      <c r="B14" s="5" t="s">
        <v>34</v>
      </c>
      <c r="C14" s="5" t="s">
        <v>35</v>
      </c>
      <c r="D14" s="5" t="s">
        <v>36</v>
      </c>
      <c r="E14" s="5">
        <v>3</v>
      </c>
      <c r="F14" s="6">
        <v>127000</v>
      </c>
    </row>
    <row r="15" spans="1:10" x14ac:dyDescent="0.6">
      <c r="A15" s="8" t="s">
        <v>37</v>
      </c>
      <c r="B15" s="5" t="s">
        <v>20</v>
      </c>
      <c r="C15" s="5" t="s">
        <v>38</v>
      </c>
      <c r="D15" s="5" t="s">
        <v>39</v>
      </c>
      <c r="E15" s="5">
        <v>5</v>
      </c>
      <c r="F15" s="6">
        <v>215000</v>
      </c>
    </row>
    <row r="16" spans="1:10" x14ac:dyDescent="0.6">
      <c r="A16" s="8" t="s">
        <v>40</v>
      </c>
      <c r="B16" s="5" t="s">
        <v>41</v>
      </c>
      <c r="C16" s="5" t="s">
        <v>42</v>
      </c>
      <c r="D16" s="5" t="s">
        <v>43</v>
      </c>
      <c r="E16" s="5">
        <v>2</v>
      </c>
      <c r="F16" s="6">
        <v>42000</v>
      </c>
    </row>
    <row r="17" spans="1:6" x14ac:dyDescent="0.6">
      <c r="A17" s="8" t="s">
        <v>44</v>
      </c>
      <c r="B17" s="5" t="s">
        <v>45</v>
      </c>
      <c r="C17" s="5" t="s">
        <v>46</v>
      </c>
      <c r="D17" s="5" t="s">
        <v>47</v>
      </c>
      <c r="E17" s="5">
        <v>1</v>
      </c>
      <c r="F17" s="6">
        <v>26000</v>
      </c>
    </row>
    <row r="18" spans="1:6" x14ac:dyDescent="0.6">
      <c r="A18" s="4" t="s">
        <v>12</v>
      </c>
      <c r="B18" s="5" t="s">
        <v>17</v>
      </c>
      <c r="C18" s="5" t="s">
        <v>14</v>
      </c>
      <c r="D18" s="5" t="s">
        <v>39</v>
      </c>
      <c r="E18" s="5">
        <v>3</v>
      </c>
      <c r="F18" s="6">
        <v>95000</v>
      </c>
    </row>
    <row r="19" spans="1:6" x14ac:dyDescent="0.6">
      <c r="A19" s="8" t="s">
        <v>48</v>
      </c>
      <c r="B19" s="5" t="s">
        <v>49</v>
      </c>
      <c r="C19" s="5" t="s">
        <v>14</v>
      </c>
      <c r="D19" s="5" t="s">
        <v>15</v>
      </c>
      <c r="E19" s="5">
        <v>2</v>
      </c>
      <c r="F19" s="6">
        <v>63000</v>
      </c>
    </row>
    <row r="20" spans="1:6" x14ac:dyDescent="0.6">
      <c r="A20" s="4" t="s">
        <v>50</v>
      </c>
      <c r="B20" s="5" t="s">
        <v>51</v>
      </c>
      <c r="C20" s="5" t="s">
        <v>52</v>
      </c>
      <c r="D20" s="5" t="s">
        <v>28</v>
      </c>
      <c r="E20" s="5">
        <v>2</v>
      </c>
      <c r="F20" s="6">
        <v>63000</v>
      </c>
    </row>
    <row r="21" spans="1:6" x14ac:dyDescent="0.6">
      <c r="A21" s="7" t="s">
        <v>29</v>
      </c>
      <c r="B21" s="5" t="s">
        <v>20</v>
      </c>
      <c r="C21" s="5" t="s">
        <v>53</v>
      </c>
      <c r="D21" s="5" t="s">
        <v>32</v>
      </c>
      <c r="E21" s="5">
        <v>3</v>
      </c>
      <c r="F21" s="6">
        <v>127000</v>
      </c>
    </row>
    <row r="22" spans="1:6" x14ac:dyDescent="0.6">
      <c r="A22" s="4" t="s">
        <v>54</v>
      </c>
      <c r="B22" s="5" t="s">
        <v>55</v>
      </c>
      <c r="C22" s="5" t="s">
        <v>56</v>
      </c>
      <c r="D22" s="5" t="s">
        <v>57</v>
      </c>
      <c r="E22" s="5">
        <v>2</v>
      </c>
      <c r="F22" s="6">
        <v>74000</v>
      </c>
    </row>
    <row r="23" spans="1:6" x14ac:dyDescent="0.6">
      <c r="A23" s="4" t="s">
        <v>58</v>
      </c>
      <c r="B23" s="5" t="s">
        <v>59</v>
      </c>
      <c r="C23" s="5" t="s">
        <v>60</v>
      </c>
      <c r="D23" s="5" t="s">
        <v>61</v>
      </c>
      <c r="E23" s="5">
        <v>1</v>
      </c>
      <c r="F23" s="6">
        <v>26000</v>
      </c>
    </row>
    <row r="24" spans="1:6" x14ac:dyDescent="0.6">
      <c r="A24" s="4" t="s">
        <v>62</v>
      </c>
      <c r="B24" s="5" t="s">
        <v>63</v>
      </c>
      <c r="C24" s="5" t="s">
        <v>64</v>
      </c>
      <c r="D24" s="5" t="s">
        <v>39</v>
      </c>
      <c r="E24" s="5">
        <v>1</v>
      </c>
      <c r="F24" s="6">
        <v>26000</v>
      </c>
    </row>
    <row r="25" spans="1:6" x14ac:dyDescent="0.6">
      <c r="A25" s="4" t="s">
        <v>65</v>
      </c>
      <c r="B25" s="5" t="s">
        <v>66</v>
      </c>
      <c r="C25" s="5" t="s">
        <v>67</v>
      </c>
      <c r="D25" s="5" t="s">
        <v>36</v>
      </c>
      <c r="E25" s="5">
        <v>3</v>
      </c>
      <c r="F25" s="6">
        <v>112000</v>
      </c>
    </row>
    <row r="26" spans="1:6" x14ac:dyDescent="0.6">
      <c r="A26" s="4" t="s">
        <v>68</v>
      </c>
      <c r="B26" s="5" t="s">
        <v>49</v>
      </c>
      <c r="C26" s="5" t="s">
        <v>60</v>
      </c>
      <c r="D26" s="5" t="s">
        <v>69</v>
      </c>
      <c r="E26" s="5">
        <v>1</v>
      </c>
      <c r="F26" s="6">
        <v>26000</v>
      </c>
    </row>
    <row r="27" spans="1:6" x14ac:dyDescent="0.6">
      <c r="A27" s="4" t="s">
        <v>70</v>
      </c>
      <c r="B27" s="5" t="s">
        <v>71</v>
      </c>
      <c r="C27" s="5" t="s">
        <v>72</v>
      </c>
      <c r="D27" s="5" t="s">
        <v>73</v>
      </c>
      <c r="E27" s="5">
        <v>3</v>
      </c>
      <c r="F27" s="6">
        <v>112000</v>
      </c>
    </row>
    <row r="28" spans="1:6" x14ac:dyDescent="0.6">
      <c r="A28" s="4" t="s">
        <v>74</v>
      </c>
      <c r="B28" s="5" t="s">
        <v>75</v>
      </c>
      <c r="C28" s="5" t="s">
        <v>76</v>
      </c>
      <c r="D28" s="5" t="s">
        <v>36</v>
      </c>
      <c r="E28" s="5">
        <v>4</v>
      </c>
      <c r="F28" s="6">
        <v>171000</v>
      </c>
    </row>
    <row r="29" spans="1:6" x14ac:dyDescent="0.6">
      <c r="A29" s="7" t="s">
        <v>29</v>
      </c>
      <c r="B29" s="5" t="s">
        <v>71</v>
      </c>
      <c r="C29" s="5" t="s">
        <v>77</v>
      </c>
      <c r="D29" s="5" t="s">
        <v>78</v>
      </c>
      <c r="E29" s="5">
        <v>2</v>
      </c>
      <c r="F29" s="6">
        <v>63000</v>
      </c>
    </row>
    <row r="30" spans="1:6" x14ac:dyDescent="0.6">
      <c r="A30" s="7" t="s">
        <v>79</v>
      </c>
      <c r="B30" s="5" t="s">
        <v>49</v>
      </c>
      <c r="C30" s="5" t="s">
        <v>80</v>
      </c>
      <c r="D30" s="5" t="s">
        <v>81</v>
      </c>
      <c r="E30" s="5">
        <v>2</v>
      </c>
      <c r="F30" s="6">
        <v>83000</v>
      </c>
    </row>
    <row r="31" spans="1:6" x14ac:dyDescent="0.6">
      <c r="A31" s="4" t="s">
        <v>12</v>
      </c>
      <c r="B31" s="5" t="s">
        <v>34</v>
      </c>
      <c r="C31" s="5" t="s">
        <v>82</v>
      </c>
      <c r="D31" s="5" t="s">
        <v>83</v>
      </c>
      <c r="E31" s="5">
        <v>1</v>
      </c>
      <c r="F31" s="6">
        <v>26000</v>
      </c>
    </row>
    <row r="32" spans="1:6" x14ac:dyDescent="0.6">
      <c r="A32" s="7" t="s">
        <v>84</v>
      </c>
      <c r="B32" s="5" t="s">
        <v>30</v>
      </c>
      <c r="C32" s="5" t="s">
        <v>60</v>
      </c>
      <c r="D32" s="5" t="s">
        <v>61</v>
      </c>
      <c r="E32" s="5">
        <v>1</v>
      </c>
      <c r="F32" s="6">
        <v>26000</v>
      </c>
    </row>
    <row r="33" spans="1:6" x14ac:dyDescent="0.6">
      <c r="A33" s="7" t="s">
        <v>85</v>
      </c>
      <c r="B33" s="5" t="s">
        <v>86</v>
      </c>
      <c r="C33" s="5" t="s">
        <v>87</v>
      </c>
      <c r="D33" s="5" t="s">
        <v>22</v>
      </c>
      <c r="E33" s="5">
        <v>5</v>
      </c>
      <c r="F33" s="6">
        <v>215000</v>
      </c>
    </row>
    <row r="34" spans="1:6" x14ac:dyDescent="0.6">
      <c r="A34" s="4" t="s">
        <v>88</v>
      </c>
      <c r="B34" s="5" t="s">
        <v>49</v>
      </c>
      <c r="C34" s="5" t="s">
        <v>72</v>
      </c>
      <c r="D34" s="5" t="s">
        <v>89</v>
      </c>
      <c r="E34" s="5">
        <v>2</v>
      </c>
      <c r="F34" s="6">
        <v>74000</v>
      </c>
    </row>
    <row r="35" spans="1:6" x14ac:dyDescent="0.6">
      <c r="A35" s="4" t="s">
        <v>90</v>
      </c>
      <c r="B35" s="5" t="s">
        <v>71</v>
      </c>
      <c r="C35" s="5" t="s">
        <v>91</v>
      </c>
      <c r="D35" s="5" t="s">
        <v>32</v>
      </c>
      <c r="E35" s="5">
        <v>7</v>
      </c>
      <c r="F35" s="6">
        <v>303000</v>
      </c>
    </row>
    <row r="36" spans="1:6" x14ac:dyDescent="0.6">
      <c r="A36" s="4" t="s">
        <v>92</v>
      </c>
      <c r="B36" s="5" t="s">
        <v>75</v>
      </c>
      <c r="C36" s="5" t="s">
        <v>93</v>
      </c>
      <c r="D36" s="5" t="s">
        <v>22</v>
      </c>
      <c r="E36" s="5">
        <v>5</v>
      </c>
      <c r="F36" s="6">
        <v>211000</v>
      </c>
    </row>
    <row r="37" spans="1:6" x14ac:dyDescent="0.6">
      <c r="A37" s="4" t="s">
        <v>94</v>
      </c>
      <c r="B37" s="5" t="s">
        <v>71</v>
      </c>
      <c r="C37" s="5" t="s">
        <v>38</v>
      </c>
      <c r="D37" s="5" t="s">
        <v>32</v>
      </c>
      <c r="E37" s="5">
        <v>5</v>
      </c>
      <c r="F37" s="6">
        <v>215000</v>
      </c>
    </row>
    <row r="38" spans="1:6" x14ac:dyDescent="0.6">
      <c r="A38" s="4" t="s">
        <v>95</v>
      </c>
      <c r="B38" s="5" t="s">
        <v>75</v>
      </c>
      <c r="C38" s="5" t="s">
        <v>96</v>
      </c>
      <c r="D38" s="5" t="s">
        <v>43</v>
      </c>
      <c r="E38" s="5">
        <v>1</v>
      </c>
      <c r="F38" s="6">
        <v>26000</v>
      </c>
    </row>
    <row r="39" spans="1:6" x14ac:dyDescent="0.6">
      <c r="A39" s="4" t="s">
        <v>97</v>
      </c>
      <c r="B39" s="5" t="s">
        <v>98</v>
      </c>
      <c r="C39" s="5" t="s">
        <v>99</v>
      </c>
      <c r="D39" s="5" t="s">
        <v>43</v>
      </c>
      <c r="E39" s="5">
        <v>2</v>
      </c>
      <c r="F39" s="6">
        <v>63000</v>
      </c>
    </row>
    <row r="40" spans="1:6" x14ac:dyDescent="0.6">
      <c r="A40" s="4" t="s">
        <v>100</v>
      </c>
      <c r="B40" s="5" t="s">
        <v>101</v>
      </c>
      <c r="C40" s="5" t="s">
        <v>102</v>
      </c>
      <c r="D40" s="5" t="s">
        <v>81</v>
      </c>
      <c r="E40" s="5">
        <v>2</v>
      </c>
      <c r="F40" s="6">
        <v>74000</v>
      </c>
    </row>
    <row r="41" spans="1:6" x14ac:dyDescent="0.6">
      <c r="A41" s="4" t="s">
        <v>103</v>
      </c>
      <c r="B41" s="5" t="s">
        <v>17</v>
      </c>
      <c r="C41" s="5" t="s">
        <v>77</v>
      </c>
      <c r="D41" s="5" t="s">
        <v>61</v>
      </c>
      <c r="E41" s="5">
        <v>2</v>
      </c>
      <c r="F41" s="6">
        <v>63000</v>
      </c>
    </row>
    <row r="42" spans="1:6" x14ac:dyDescent="0.6">
      <c r="A42" s="4" t="s">
        <v>104</v>
      </c>
      <c r="B42" s="5" t="s">
        <v>105</v>
      </c>
      <c r="C42" s="5" t="s">
        <v>67</v>
      </c>
      <c r="D42" s="5" t="s">
        <v>36</v>
      </c>
      <c r="E42" s="5">
        <v>3</v>
      </c>
      <c r="F42" s="6">
        <v>112000</v>
      </c>
    </row>
    <row r="43" spans="1:6" x14ac:dyDescent="0.6">
      <c r="A43" s="4" t="s">
        <v>106</v>
      </c>
      <c r="B43" s="5" t="s">
        <v>107</v>
      </c>
      <c r="C43" s="5" t="s">
        <v>108</v>
      </c>
      <c r="D43" s="5" t="s">
        <v>36</v>
      </c>
      <c r="E43" s="5">
        <v>5</v>
      </c>
      <c r="F43" s="6">
        <v>211000</v>
      </c>
    </row>
    <row r="44" spans="1:6" x14ac:dyDescent="0.6">
      <c r="A44" s="4" t="s">
        <v>109</v>
      </c>
      <c r="B44" s="5" t="s">
        <v>20</v>
      </c>
      <c r="C44" s="5" t="s">
        <v>110</v>
      </c>
      <c r="D44" s="5" t="s">
        <v>36</v>
      </c>
      <c r="E44" s="5">
        <v>8</v>
      </c>
      <c r="F44" s="6">
        <v>402000</v>
      </c>
    </row>
  </sheetData>
  <mergeCells count="2">
    <mergeCell ref="A1:G3"/>
    <mergeCell ref="H5:J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selection activeCell="J10" sqref="J10"/>
    </sheetView>
  </sheetViews>
  <sheetFormatPr defaultRowHeight="16.899999999999999" x14ac:dyDescent="0.6"/>
  <cols>
    <col min="5" max="5" width="10.875" bestFit="1" customWidth="1"/>
    <col min="6" max="6" width="12.375" customWidth="1"/>
    <col min="9" max="9" width="10.875" bestFit="1" customWidth="1"/>
  </cols>
  <sheetData>
    <row r="1" spans="1:10" x14ac:dyDescent="0.6">
      <c r="A1" s="17" t="s">
        <v>190</v>
      </c>
      <c r="B1" s="18"/>
      <c r="C1" s="18"/>
      <c r="D1" s="18"/>
      <c r="E1" s="18"/>
      <c r="F1" s="18"/>
      <c r="G1" s="18"/>
    </row>
    <row r="2" spans="1:10" x14ac:dyDescent="0.6">
      <c r="A2" s="18"/>
      <c r="B2" s="18"/>
      <c r="C2" s="18"/>
      <c r="D2" s="18"/>
      <c r="E2" s="18"/>
      <c r="F2" s="18"/>
      <c r="G2" s="18"/>
    </row>
    <row r="3" spans="1:10" x14ac:dyDescent="0.6">
      <c r="A3" s="18"/>
      <c r="B3" s="18"/>
      <c r="C3" s="18"/>
      <c r="D3" s="18"/>
      <c r="E3" s="18"/>
      <c r="F3" s="18"/>
      <c r="G3" s="18"/>
    </row>
    <row r="5" spans="1:10" x14ac:dyDescent="0.6">
      <c r="A5" t="s">
        <v>111</v>
      </c>
      <c r="H5" s="19" t="s">
        <v>174</v>
      </c>
      <c r="I5" s="19"/>
      <c r="J5" s="19"/>
    </row>
    <row r="7" spans="1:10" x14ac:dyDescent="0.6">
      <c r="A7" s="3" t="s">
        <v>112</v>
      </c>
      <c r="B7" s="3" t="s">
        <v>113</v>
      </c>
      <c r="C7" s="3" t="s">
        <v>114</v>
      </c>
      <c r="D7" s="3" t="s">
        <v>115</v>
      </c>
      <c r="E7" s="3" t="s">
        <v>116</v>
      </c>
      <c r="F7" s="3" t="s">
        <v>117</v>
      </c>
      <c r="H7" s="9"/>
      <c r="I7" s="9" t="s">
        <v>116</v>
      </c>
      <c r="J7" s="9" t="s">
        <v>117</v>
      </c>
    </row>
    <row r="8" spans="1:10" x14ac:dyDescent="0.6">
      <c r="A8" s="4" t="s">
        <v>118</v>
      </c>
      <c r="B8" s="5" t="s">
        <v>119</v>
      </c>
      <c r="C8" s="5" t="s">
        <v>120</v>
      </c>
      <c r="D8" s="5" t="s">
        <v>121</v>
      </c>
      <c r="E8" s="6">
        <v>3500000</v>
      </c>
      <c r="F8" s="6">
        <v>30000</v>
      </c>
      <c r="H8" s="9" t="s">
        <v>3</v>
      </c>
      <c r="I8" s="12">
        <f>AVERAGE(E8:E32)</f>
        <v>2864000</v>
      </c>
      <c r="J8" s="12">
        <f>AVERAGE(F8:F32)</f>
        <v>31200</v>
      </c>
    </row>
    <row r="9" spans="1:10" x14ac:dyDescent="0.6">
      <c r="A9" s="4" t="s">
        <v>122</v>
      </c>
      <c r="B9" s="5" t="s">
        <v>123</v>
      </c>
      <c r="C9" s="5" t="s">
        <v>124</v>
      </c>
      <c r="D9" s="5" t="s">
        <v>125</v>
      </c>
      <c r="E9" s="6">
        <v>2800000</v>
      </c>
      <c r="F9" s="6">
        <v>0</v>
      </c>
      <c r="H9" s="9" t="s">
        <v>4</v>
      </c>
      <c r="I9" s="12">
        <f>MEDIAN(E8:E32)</f>
        <v>2800000</v>
      </c>
      <c r="J9" s="12">
        <f>MEDIAN(F8:F32)</f>
        <v>30000</v>
      </c>
    </row>
    <row r="10" spans="1:10" x14ac:dyDescent="0.6">
      <c r="A10" s="4" t="s">
        <v>126</v>
      </c>
      <c r="B10" s="5" t="s">
        <v>127</v>
      </c>
      <c r="C10" s="5" t="s">
        <v>128</v>
      </c>
      <c r="D10" s="5" t="s">
        <v>129</v>
      </c>
      <c r="E10" s="6">
        <v>2000000</v>
      </c>
      <c r="F10" s="6">
        <v>0</v>
      </c>
    </row>
    <row r="11" spans="1:10" x14ac:dyDescent="0.6">
      <c r="A11" s="7" t="s">
        <v>130</v>
      </c>
      <c r="B11" s="5" t="s">
        <v>131</v>
      </c>
      <c r="C11" s="5" t="s">
        <v>120</v>
      </c>
      <c r="D11" s="5" t="s">
        <v>132</v>
      </c>
      <c r="E11" s="6">
        <v>3500000</v>
      </c>
      <c r="F11" s="6">
        <v>60000</v>
      </c>
    </row>
    <row r="12" spans="1:10" x14ac:dyDescent="0.6">
      <c r="A12" s="8" t="s">
        <v>133</v>
      </c>
      <c r="B12" s="5" t="s">
        <v>134</v>
      </c>
      <c r="C12" s="5" t="s">
        <v>124</v>
      </c>
      <c r="D12" s="5" t="s">
        <v>125</v>
      </c>
      <c r="E12" s="6">
        <v>2800000</v>
      </c>
      <c r="F12" s="6">
        <v>30000</v>
      </c>
    </row>
    <row r="13" spans="1:10" x14ac:dyDescent="0.6">
      <c r="A13" s="4" t="s">
        <v>135</v>
      </c>
      <c r="B13" s="5" t="s">
        <v>136</v>
      </c>
      <c r="C13" s="5" t="s">
        <v>120</v>
      </c>
      <c r="D13" s="5" t="s">
        <v>129</v>
      </c>
      <c r="E13" s="6">
        <v>2000000</v>
      </c>
      <c r="F13" s="6">
        <v>0</v>
      </c>
    </row>
    <row r="14" spans="1:10" x14ac:dyDescent="0.6">
      <c r="A14" s="4" t="s">
        <v>137</v>
      </c>
      <c r="B14" s="5" t="s">
        <v>119</v>
      </c>
      <c r="C14" s="5" t="s">
        <v>128</v>
      </c>
      <c r="D14" s="5" t="s">
        <v>138</v>
      </c>
      <c r="E14" s="6">
        <v>4000000</v>
      </c>
      <c r="F14" s="6">
        <v>60000</v>
      </c>
    </row>
    <row r="15" spans="1:10" x14ac:dyDescent="0.6">
      <c r="A15" s="7" t="s">
        <v>139</v>
      </c>
      <c r="B15" s="5" t="s">
        <v>140</v>
      </c>
      <c r="C15" s="5" t="s">
        <v>141</v>
      </c>
      <c r="D15" s="5" t="s">
        <v>129</v>
      </c>
      <c r="E15" s="6">
        <v>2000000</v>
      </c>
      <c r="F15" s="6">
        <v>0</v>
      </c>
    </row>
    <row r="16" spans="1:10" x14ac:dyDescent="0.6">
      <c r="A16" s="4" t="s">
        <v>142</v>
      </c>
      <c r="B16" s="5" t="s">
        <v>143</v>
      </c>
      <c r="C16" s="5" t="s">
        <v>128</v>
      </c>
      <c r="D16" s="5" t="s">
        <v>144</v>
      </c>
      <c r="E16" s="6">
        <v>4500000</v>
      </c>
      <c r="F16" s="6">
        <v>30000</v>
      </c>
    </row>
    <row r="17" spans="1:6" x14ac:dyDescent="0.6">
      <c r="A17" s="8" t="s">
        <v>145</v>
      </c>
      <c r="B17" s="5" t="s">
        <v>134</v>
      </c>
      <c r="C17" s="5" t="s">
        <v>124</v>
      </c>
      <c r="D17" s="5" t="s">
        <v>129</v>
      </c>
      <c r="E17" s="6">
        <v>2000000</v>
      </c>
      <c r="F17" s="6">
        <v>30000</v>
      </c>
    </row>
    <row r="18" spans="1:6" x14ac:dyDescent="0.6">
      <c r="A18" s="8" t="s">
        <v>146</v>
      </c>
      <c r="B18" s="5" t="s">
        <v>147</v>
      </c>
      <c r="C18" s="5" t="s">
        <v>124</v>
      </c>
      <c r="D18" s="5" t="s">
        <v>132</v>
      </c>
      <c r="E18" s="6">
        <v>3500000</v>
      </c>
      <c r="F18" s="6">
        <v>30000</v>
      </c>
    </row>
    <row r="19" spans="1:6" x14ac:dyDescent="0.6">
      <c r="A19" s="7" t="s">
        <v>148</v>
      </c>
      <c r="B19" s="5" t="s">
        <v>149</v>
      </c>
      <c r="C19" s="5" t="s">
        <v>120</v>
      </c>
      <c r="D19" s="5" t="s">
        <v>129</v>
      </c>
      <c r="E19" s="6">
        <v>2000000</v>
      </c>
      <c r="F19" s="6">
        <v>60000</v>
      </c>
    </row>
    <row r="20" spans="1:6" x14ac:dyDescent="0.6">
      <c r="A20" s="8" t="s">
        <v>150</v>
      </c>
      <c r="B20" s="5" t="s">
        <v>136</v>
      </c>
      <c r="C20" s="5" t="s">
        <v>124</v>
      </c>
      <c r="D20" s="5" t="s">
        <v>125</v>
      </c>
      <c r="E20" s="6">
        <v>2800000</v>
      </c>
      <c r="F20" s="6">
        <v>30000</v>
      </c>
    </row>
    <row r="21" spans="1:6" x14ac:dyDescent="0.6">
      <c r="A21" s="4" t="s">
        <v>151</v>
      </c>
      <c r="B21" s="5" t="s">
        <v>134</v>
      </c>
      <c r="C21" s="5" t="s">
        <v>124</v>
      </c>
      <c r="D21" s="5" t="s">
        <v>121</v>
      </c>
      <c r="E21" s="6">
        <v>3500000</v>
      </c>
      <c r="F21" s="6">
        <v>30000</v>
      </c>
    </row>
    <row r="22" spans="1:6" x14ac:dyDescent="0.6">
      <c r="A22" s="4" t="s">
        <v>152</v>
      </c>
      <c r="B22" s="5" t="s">
        <v>149</v>
      </c>
      <c r="C22" s="5" t="s">
        <v>141</v>
      </c>
      <c r="D22" s="5" t="s">
        <v>129</v>
      </c>
      <c r="E22" s="6">
        <v>2000000</v>
      </c>
      <c r="F22" s="6">
        <v>0</v>
      </c>
    </row>
    <row r="23" spans="1:6" x14ac:dyDescent="0.6">
      <c r="A23" s="4" t="s">
        <v>153</v>
      </c>
      <c r="B23" s="5" t="s">
        <v>143</v>
      </c>
      <c r="C23" s="5" t="s">
        <v>128</v>
      </c>
      <c r="D23" s="5" t="s">
        <v>125</v>
      </c>
      <c r="E23" s="6">
        <v>2800000</v>
      </c>
      <c r="F23" s="6">
        <v>60000</v>
      </c>
    </row>
    <row r="24" spans="1:6" x14ac:dyDescent="0.6">
      <c r="A24" s="4" t="s">
        <v>154</v>
      </c>
      <c r="B24" s="5" t="s">
        <v>155</v>
      </c>
      <c r="C24" s="5" t="s">
        <v>156</v>
      </c>
      <c r="D24" s="5" t="s">
        <v>157</v>
      </c>
      <c r="E24" s="6">
        <v>2000000</v>
      </c>
      <c r="F24" s="6">
        <v>30000</v>
      </c>
    </row>
    <row r="25" spans="1:6" x14ac:dyDescent="0.6">
      <c r="A25" s="4" t="s">
        <v>158</v>
      </c>
      <c r="B25" s="5" t="s">
        <v>140</v>
      </c>
      <c r="C25" s="5" t="s">
        <v>156</v>
      </c>
      <c r="D25" s="5" t="s">
        <v>125</v>
      </c>
      <c r="E25" s="6">
        <v>2800000</v>
      </c>
      <c r="F25" s="6">
        <v>30000</v>
      </c>
    </row>
    <row r="26" spans="1:6" x14ac:dyDescent="0.6">
      <c r="A26" s="4" t="s">
        <v>159</v>
      </c>
      <c r="B26" s="5" t="s">
        <v>160</v>
      </c>
      <c r="C26" s="5" t="s">
        <v>124</v>
      </c>
      <c r="D26" s="5" t="s">
        <v>161</v>
      </c>
      <c r="E26" s="6">
        <v>3500000</v>
      </c>
      <c r="F26" s="6">
        <v>60000</v>
      </c>
    </row>
    <row r="27" spans="1:6" x14ac:dyDescent="0.6">
      <c r="A27" s="7" t="s">
        <v>162</v>
      </c>
      <c r="B27" s="5" t="s">
        <v>127</v>
      </c>
      <c r="C27" s="5" t="s">
        <v>128</v>
      </c>
      <c r="D27" s="5" t="s">
        <v>125</v>
      </c>
      <c r="E27" s="6">
        <v>2800000</v>
      </c>
      <c r="F27" s="6">
        <v>60000</v>
      </c>
    </row>
    <row r="28" spans="1:6" x14ac:dyDescent="0.6">
      <c r="A28" s="4" t="s">
        <v>163</v>
      </c>
      <c r="B28" s="5" t="s">
        <v>160</v>
      </c>
      <c r="C28" s="5" t="s">
        <v>124</v>
      </c>
      <c r="D28" s="5" t="s">
        <v>129</v>
      </c>
      <c r="E28" s="6">
        <v>2000000</v>
      </c>
      <c r="F28" s="6">
        <v>30000</v>
      </c>
    </row>
    <row r="29" spans="1:6" x14ac:dyDescent="0.6">
      <c r="A29" s="7" t="s">
        <v>164</v>
      </c>
      <c r="B29" s="5" t="s">
        <v>134</v>
      </c>
      <c r="C29" s="5" t="s">
        <v>165</v>
      </c>
      <c r="D29" s="5" t="s">
        <v>157</v>
      </c>
      <c r="E29" s="6">
        <v>2000000</v>
      </c>
      <c r="F29" s="6">
        <v>0</v>
      </c>
    </row>
    <row r="30" spans="1:6" x14ac:dyDescent="0.6">
      <c r="A30" s="7" t="s">
        <v>166</v>
      </c>
      <c r="B30" s="5" t="s">
        <v>167</v>
      </c>
      <c r="C30" s="5" t="s">
        <v>128</v>
      </c>
      <c r="D30" s="5" t="s">
        <v>168</v>
      </c>
      <c r="E30" s="6">
        <v>4000000</v>
      </c>
      <c r="F30" s="6">
        <v>30000</v>
      </c>
    </row>
    <row r="31" spans="1:6" x14ac:dyDescent="0.6">
      <c r="A31" s="7" t="s">
        <v>169</v>
      </c>
      <c r="B31" s="5" t="s">
        <v>119</v>
      </c>
      <c r="C31" s="5" t="s">
        <v>124</v>
      </c>
      <c r="D31" s="5" t="s">
        <v>170</v>
      </c>
      <c r="E31" s="6">
        <v>2800000</v>
      </c>
      <c r="F31" s="6">
        <v>30000</v>
      </c>
    </row>
    <row r="32" spans="1:6" x14ac:dyDescent="0.6">
      <c r="A32" s="7" t="s">
        <v>171</v>
      </c>
      <c r="B32" s="5" t="s">
        <v>172</v>
      </c>
      <c r="C32" s="5" t="s">
        <v>124</v>
      </c>
      <c r="D32" s="5" t="s">
        <v>168</v>
      </c>
      <c r="E32" s="6">
        <v>4000000</v>
      </c>
      <c r="F32" s="6">
        <v>60000</v>
      </c>
    </row>
  </sheetData>
  <mergeCells count="2">
    <mergeCell ref="A1:G3"/>
    <mergeCell ref="H5:J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A0D5-CE47-4851-A7F7-61225BF175BD}">
  <dimension ref="A1:D10"/>
  <sheetViews>
    <sheetView workbookViewId="0">
      <selection activeCell="M3" sqref="M3"/>
    </sheetView>
  </sheetViews>
  <sheetFormatPr defaultRowHeight="16.899999999999999" x14ac:dyDescent="0.6"/>
  <sheetData>
    <row r="1" spans="1:4" x14ac:dyDescent="0.6">
      <c r="A1">
        <v>71</v>
      </c>
      <c r="C1" t="s">
        <v>184</v>
      </c>
      <c r="D1">
        <f>MIN(A1:A10)</f>
        <v>45</v>
      </c>
    </row>
    <row r="2" spans="1:4" x14ac:dyDescent="0.6">
      <c r="A2">
        <v>81</v>
      </c>
      <c r="C2" t="s">
        <v>185</v>
      </c>
      <c r="D2">
        <f>QUARTILE(A1:A10, 1)</f>
        <v>59.25</v>
      </c>
    </row>
    <row r="3" spans="1:4" x14ac:dyDescent="0.6">
      <c r="A3">
        <v>58</v>
      </c>
      <c r="C3" t="s">
        <v>4</v>
      </c>
      <c r="D3">
        <f>MEDIAN(A1:A10)</f>
        <v>62</v>
      </c>
    </row>
    <row r="4" spans="1:4" x14ac:dyDescent="0.6">
      <c r="A4">
        <v>60</v>
      </c>
      <c r="C4" t="s">
        <v>186</v>
      </c>
      <c r="D4">
        <f>QUARTILE(A1:A10, 3)</f>
        <v>69.75</v>
      </c>
    </row>
    <row r="5" spans="1:4" x14ac:dyDescent="0.6">
      <c r="A5">
        <v>63</v>
      </c>
      <c r="C5" t="s">
        <v>187</v>
      </c>
      <c r="D5">
        <f>MAX(A1:A10)</f>
        <v>81</v>
      </c>
    </row>
    <row r="6" spans="1:4" x14ac:dyDescent="0.6">
      <c r="A6">
        <v>59</v>
      </c>
      <c r="C6" t="s">
        <v>3</v>
      </c>
      <c r="D6">
        <f>AVERAGE(A1:A10)</f>
        <v>63.5</v>
      </c>
    </row>
    <row r="7" spans="1:4" x14ac:dyDescent="0.6">
      <c r="A7">
        <v>71</v>
      </c>
    </row>
    <row r="8" spans="1:4" x14ac:dyDescent="0.6">
      <c r="A8">
        <v>66</v>
      </c>
    </row>
    <row r="9" spans="1:4" x14ac:dyDescent="0.6">
      <c r="A9">
        <v>61</v>
      </c>
    </row>
    <row r="10" spans="1:4" x14ac:dyDescent="0.6">
      <c r="A10">
        <v>45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6186-AAFE-40A0-9C20-8C4E798BD36A}">
  <dimension ref="A1:F12"/>
  <sheetViews>
    <sheetView workbookViewId="0">
      <selection activeCell="A2" sqref="A2:B12"/>
    </sheetView>
  </sheetViews>
  <sheetFormatPr defaultRowHeight="16.899999999999999" x14ac:dyDescent="0.6"/>
  <sheetData>
    <row r="1" spans="1:6" x14ac:dyDescent="0.6">
      <c r="A1" t="s">
        <v>181</v>
      </c>
      <c r="B1" t="s">
        <v>182</v>
      </c>
      <c r="E1" t="s">
        <v>197</v>
      </c>
      <c r="F1" t="s">
        <v>198</v>
      </c>
    </row>
    <row r="2" spans="1:6" x14ac:dyDescent="0.6">
      <c r="A2">
        <v>71</v>
      </c>
      <c r="B2">
        <v>61</v>
      </c>
      <c r="D2" t="s">
        <v>191</v>
      </c>
      <c r="E2">
        <f>MIN(A2:A12)</f>
        <v>31</v>
      </c>
      <c r="F2">
        <f>MIN(B2:B10)</f>
        <v>49</v>
      </c>
    </row>
    <row r="3" spans="1:6" x14ac:dyDescent="0.6">
      <c r="A3">
        <v>81</v>
      </c>
      <c r="B3">
        <v>73</v>
      </c>
      <c r="D3" t="s">
        <v>192</v>
      </c>
      <c r="E3">
        <f>QUARTILE(A2:A12,1)</f>
        <v>58.5</v>
      </c>
      <c r="F3">
        <f>QUARTILE(B2:B10,1)</f>
        <v>52</v>
      </c>
    </row>
    <row r="4" spans="1:6" x14ac:dyDescent="0.6">
      <c r="A4">
        <v>59</v>
      </c>
      <c r="B4">
        <v>56</v>
      </c>
      <c r="D4" t="s">
        <v>193</v>
      </c>
      <c r="E4">
        <f>MEDIAN(A2:A12)</f>
        <v>62</v>
      </c>
      <c r="F4">
        <f>MEDIAN(B2:B10)</f>
        <v>60</v>
      </c>
    </row>
    <row r="5" spans="1:6" x14ac:dyDescent="0.6">
      <c r="A5">
        <v>60</v>
      </c>
      <c r="B5">
        <v>65</v>
      </c>
      <c r="D5" t="s">
        <v>194</v>
      </c>
      <c r="E5">
        <f>QUARTILE(A2:A12,3)</f>
        <v>70</v>
      </c>
      <c r="F5">
        <f>QUARTILE(B2:B10,3)</f>
        <v>65</v>
      </c>
    </row>
    <row r="6" spans="1:6" x14ac:dyDescent="0.6">
      <c r="A6">
        <v>63</v>
      </c>
      <c r="B6">
        <v>60</v>
      </c>
      <c r="D6" t="s">
        <v>195</v>
      </c>
      <c r="E6">
        <f>MAX(A2:A12)</f>
        <v>81</v>
      </c>
      <c r="F6">
        <f>MAX(B2:B10)</f>
        <v>78</v>
      </c>
    </row>
    <row r="7" spans="1:6" x14ac:dyDescent="0.6">
      <c r="A7">
        <v>76</v>
      </c>
      <c r="B7">
        <v>49</v>
      </c>
      <c r="D7" t="s">
        <v>196</v>
      </c>
      <c r="E7">
        <f>AVERAGE(A2:A12)</f>
        <v>62.18181818181818</v>
      </c>
      <c r="F7">
        <f>AVERAGE(B2:B10)</f>
        <v>60.555555555555557</v>
      </c>
    </row>
    <row r="8" spans="1:6" x14ac:dyDescent="0.6">
      <c r="A8">
        <v>58</v>
      </c>
      <c r="B8">
        <v>51</v>
      </c>
    </row>
    <row r="9" spans="1:6" x14ac:dyDescent="0.6">
      <c r="A9">
        <v>69</v>
      </c>
      <c r="B9">
        <v>52</v>
      </c>
    </row>
    <row r="10" spans="1:6" x14ac:dyDescent="0.6">
      <c r="A10">
        <v>62</v>
      </c>
      <c r="B10">
        <v>78</v>
      </c>
    </row>
    <row r="11" spans="1:6" x14ac:dyDescent="0.6">
      <c r="A11">
        <v>54</v>
      </c>
    </row>
    <row r="12" spans="1:6" x14ac:dyDescent="0.6">
      <c r="A12">
        <v>31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6803-A376-4236-895D-2226EC2A409A}">
  <dimension ref="A1:B20"/>
  <sheetViews>
    <sheetView workbookViewId="0">
      <selection sqref="A1:B20"/>
    </sheetView>
  </sheetViews>
  <sheetFormatPr defaultRowHeight="16.899999999999999" x14ac:dyDescent="0.6"/>
  <sheetData>
    <row r="1" spans="1:2" x14ac:dyDescent="0.6">
      <c r="A1" t="s">
        <v>181</v>
      </c>
      <c r="B1">
        <v>71</v>
      </c>
    </row>
    <row r="2" spans="1:2" x14ac:dyDescent="0.6">
      <c r="A2" t="s">
        <v>182</v>
      </c>
      <c r="B2">
        <v>61</v>
      </c>
    </row>
    <row r="3" spans="1:2" x14ac:dyDescent="0.6">
      <c r="A3" t="s">
        <v>181</v>
      </c>
      <c r="B3">
        <v>81</v>
      </c>
    </row>
    <row r="4" spans="1:2" x14ac:dyDescent="0.6">
      <c r="A4" t="s">
        <v>182</v>
      </c>
      <c r="B4">
        <v>73</v>
      </c>
    </row>
    <row r="5" spans="1:2" x14ac:dyDescent="0.6">
      <c r="A5" t="s">
        <v>181</v>
      </c>
      <c r="B5">
        <v>59</v>
      </c>
    </row>
    <row r="6" spans="1:2" x14ac:dyDescent="0.6">
      <c r="A6" t="s">
        <v>182</v>
      </c>
      <c r="B6">
        <v>56</v>
      </c>
    </row>
    <row r="7" spans="1:2" x14ac:dyDescent="0.6">
      <c r="A7" t="s">
        <v>181</v>
      </c>
      <c r="B7">
        <v>60</v>
      </c>
    </row>
    <row r="8" spans="1:2" x14ac:dyDescent="0.6">
      <c r="A8" t="s">
        <v>182</v>
      </c>
      <c r="B8">
        <v>65</v>
      </c>
    </row>
    <row r="9" spans="1:2" x14ac:dyDescent="0.6">
      <c r="A9" t="s">
        <v>181</v>
      </c>
      <c r="B9">
        <v>63</v>
      </c>
    </row>
    <row r="10" spans="1:2" x14ac:dyDescent="0.6">
      <c r="A10" t="s">
        <v>182</v>
      </c>
      <c r="B10">
        <v>60</v>
      </c>
    </row>
    <row r="11" spans="1:2" x14ac:dyDescent="0.6">
      <c r="A11" t="s">
        <v>181</v>
      </c>
      <c r="B11">
        <v>76</v>
      </c>
    </row>
    <row r="12" spans="1:2" x14ac:dyDescent="0.6">
      <c r="A12" t="s">
        <v>182</v>
      </c>
      <c r="B12">
        <v>49</v>
      </c>
    </row>
    <row r="13" spans="1:2" x14ac:dyDescent="0.6">
      <c r="A13" t="s">
        <v>181</v>
      </c>
      <c r="B13">
        <v>58</v>
      </c>
    </row>
    <row r="14" spans="1:2" x14ac:dyDescent="0.6">
      <c r="A14" t="s">
        <v>182</v>
      </c>
      <c r="B14">
        <v>51</v>
      </c>
    </row>
    <row r="15" spans="1:2" x14ac:dyDescent="0.6">
      <c r="A15" t="s">
        <v>181</v>
      </c>
      <c r="B15">
        <v>69</v>
      </c>
    </row>
    <row r="16" spans="1:2" x14ac:dyDescent="0.6">
      <c r="A16" t="s">
        <v>182</v>
      </c>
      <c r="B16">
        <v>52</v>
      </c>
    </row>
    <row r="17" spans="1:2" x14ac:dyDescent="0.6">
      <c r="A17" t="s">
        <v>181</v>
      </c>
      <c r="B17">
        <v>62</v>
      </c>
    </row>
    <row r="18" spans="1:2" x14ac:dyDescent="0.6">
      <c r="A18" t="s">
        <v>182</v>
      </c>
      <c r="B18">
        <v>78</v>
      </c>
    </row>
    <row r="19" spans="1:2" x14ac:dyDescent="0.6">
      <c r="A19" t="s">
        <v>181</v>
      </c>
      <c r="B19">
        <v>54</v>
      </c>
    </row>
    <row r="20" spans="1:2" x14ac:dyDescent="0.6">
      <c r="A20" t="s">
        <v>181</v>
      </c>
      <c r="B20">
        <v>31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98FE-ED8C-4324-89AC-D40083384FD5}">
  <dimension ref="A1:H40"/>
  <sheetViews>
    <sheetView tabSelected="1" workbookViewId="0">
      <selection activeCell="D7" sqref="D7"/>
    </sheetView>
  </sheetViews>
  <sheetFormatPr defaultRowHeight="16.899999999999999" x14ac:dyDescent="0.6"/>
  <cols>
    <col min="3" max="3" width="12.875" customWidth="1"/>
    <col min="8" max="8" width="13.125" customWidth="1"/>
  </cols>
  <sheetData>
    <row r="1" spans="1:8" x14ac:dyDescent="0.6">
      <c r="A1" s="1">
        <v>50</v>
      </c>
      <c r="C1" t="s">
        <v>0</v>
      </c>
    </row>
    <row r="2" spans="1:8" x14ac:dyDescent="0.6">
      <c r="A2" s="1">
        <v>31</v>
      </c>
    </row>
    <row r="3" spans="1:8" x14ac:dyDescent="0.6">
      <c r="A3" s="1">
        <v>36</v>
      </c>
      <c r="C3" t="s">
        <v>1</v>
      </c>
      <c r="D3" t="s">
        <v>2</v>
      </c>
      <c r="H3" t="s">
        <v>175</v>
      </c>
    </row>
    <row r="4" spans="1:8" x14ac:dyDescent="0.6">
      <c r="A4" s="1">
        <v>40</v>
      </c>
      <c r="C4" t="s">
        <v>176</v>
      </c>
      <c r="D4" s="15">
        <f>MAX(A1:A40)-MIN(A1:A40)</f>
        <v>120</v>
      </c>
      <c r="H4" s="15"/>
    </row>
    <row r="5" spans="1:8" x14ac:dyDescent="0.6">
      <c r="A5" s="1">
        <v>45</v>
      </c>
      <c r="C5" t="s">
        <v>177</v>
      </c>
      <c r="D5" s="13">
        <f>VAR(A1:A40)</f>
        <v>990.0512820512821</v>
      </c>
      <c r="H5" s="16"/>
    </row>
    <row r="6" spans="1:8" x14ac:dyDescent="0.6">
      <c r="A6" s="1">
        <v>60</v>
      </c>
      <c r="C6" t="s">
        <v>178</v>
      </c>
      <c r="D6" s="13">
        <f>STDEV(A1:A40)</f>
        <v>31.46508035984148</v>
      </c>
      <c r="H6" s="16"/>
    </row>
    <row r="7" spans="1:8" x14ac:dyDescent="0.6">
      <c r="A7" s="1">
        <v>76</v>
      </c>
      <c r="D7" s="13"/>
    </row>
    <row r="8" spans="1:8" x14ac:dyDescent="0.6">
      <c r="A8" s="1">
        <v>100</v>
      </c>
    </row>
    <row r="9" spans="1:8" x14ac:dyDescent="0.6">
      <c r="A9" s="1">
        <v>78</v>
      </c>
    </row>
    <row r="10" spans="1:8" x14ac:dyDescent="0.6">
      <c r="A10" s="1">
        <v>40</v>
      </c>
      <c r="D10" s="13"/>
    </row>
    <row r="11" spans="1:8" x14ac:dyDescent="0.6">
      <c r="A11" s="1">
        <v>30</v>
      </c>
      <c r="D11" s="13"/>
    </row>
    <row r="12" spans="1:8" x14ac:dyDescent="0.6">
      <c r="A12" s="1">
        <v>50</v>
      </c>
    </row>
    <row r="13" spans="1:8" x14ac:dyDescent="0.6">
      <c r="A13" s="1">
        <v>48</v>
      </c>
    </row>
    <row r="14" spans="1:8" x14ac:dyDescent="0.6">
      <c r="A14" s="1">
        <v>40</v>
      </c>
    </row>
    <row r="15" spans="1:8" x14ac:dyDescent="0.6">
      <c r="A15" s="1">
        <v>63</v>
      </c>
    </row>
    <row r="16" spans="1:8" x14ac:dyDescent="0.6">
      <c r="A16" s="1">
        <v>150</v>
      </c>
    </row>
    <row r="17" spans="1:1" x14ac:dyDescent="0.6">
      <c r="A17" s="1">
        <v>70</v>
      </c>
    </row>
    <row r="18" spans="1:1" x14ac:dyDescent="0.6">
      <c r="A18" s="1">
        <v>32</v>
      </c>
    </row>
    <row r="19" spans="1:1" x14ac:dyDescent="0.6">
      <c r="A19" s="1">
        <v>38</v>
      </c>
    </row>
    <row r="20" spans="1:1" x14ac:dyDescent="0.6">
      <c r="A20" s="1">
        <v>50</v>
      </c>
    </row>
    <row r="21" spans="1:1" x14ac:dyDescent="0.6">
      <c r="A21" s="1">
        <v>150</v>
      </c>
    </row>
    <row r="22" spans="1:1" x14ac:dyDescent="0.6">
      <c r="A22" s="1">
        <v>110</v>
      </c>
    </row>
    <row r="23" spans="1:1" x14ac:dyDescent="0.6">
      <c r="A23" s="1">
        <v>60</v>
      </c>
    </row>
    <row r="24" spans="1:1" x14ac:dyDescent="0.6">
      <c r="A24" s="1">
        <v>60</v>
      </c>
    </row>
    <row r="25" spans="1:1" x14ac:dyDescent="0.6">
      <c r="A25" s="1">
        <v>30</v>
      </c>
    </row>
    <row r="26" spans="1:1" x14ac:dyDescent="0.6">
      <c r="A26" s="1">
        <v>50</v>
      </c>
    </row>
    <row r="27" spans="1:1" x14ac:dyDescent="0.6">
      <c r="A27" s="1">
        <v>80</v>
      </c>
    </row>
    <row r="28" spans="1:1" x14ac:dyDescent="0.6">
      <c r="A28" s="1">
        <v>40</v>
      </c>
    </row>
    <row r="29" spans="1:1" x14ac:dyDescent="0.6">
      <c r="A29" s="1">
        <v>110</v>
      </c>
    </row>
    <row r="30" spans="1:1" x14ac:dyDescent="0.6">
      <c r="A30" s="1">
        <v>55</v>
      </c>
    </row>
    <row r="31" spans="1:1" x14ac:dyDescent="0.6">
      <c r="A31" s="1">
        <v>50</v>
      </c>
    </row>
    <row r="32" spans="1:1" x14ac:dyDescent="0.6">
      <c r="A32" s="1">
        <v>60</v>
      </c>
    </row>
    <row r="33" spans="1:1" x14ac:dyDescent="0.6">
      <c r="A33" s="1">
        <v>80</v>
      </c>
    </row>
    <row r="34" spans="1:1" x14ac:dyDescent="0.6">
      <c r="A34" s="1">
        <v>33</v>
      </c>
    </row>
    <row r="35" spans="1:1" x14ac:dyDescent="0.6">
      <c r="A35" s="1">
        <v>120</v>
      </c>
    </row>
    <row r="36" spans="1:1" x14ac:dyDescent="0.6">
      <c r="A36" s="1">
        <v>65</v>
      </c>
    </row>
    <row r="37" spans="1:1" x14ac:dyDescent="0.6">
      <c r="A37" s="1">
        <v>90</v>
      </c>
    </row>
    <row r="38" spans="1:1" x14ac:dyDescent="0.6">
      <c r="A38" s="1">
        <v>30</v>
      </c>
    </row>
    <row r="39" spans="1:1" x14ac:dyDescent="0.6">
      <c r="A39" s="1">
        <v>100</v>
      </c>
    </row>
    <row r="40" spans="1:1" x14ac:dyDescent="0.6">
      <c r="A40" s="1">
        <v>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8200-495A-49C4-8225-A78EDEF21524}">
  <dimension ref="A1:J44"/>
  <sheetViews>
    <sheetView workbookViewId="0">
      <selection activeCell="J11" sqref="J11"/>
    </sheetView>
  </sheetViews>
  <sheetFormatPr defaultRowHeight="16.899999999999999" x14ac:dyDescent="0.6"/>
  <cols>
    <col min="6" max="6" width="9.375" bestFit="1" customWidth="1"/>
    <col min="8" max="8" width="13.5" customWidth="1"/>
    <col min="10" max="10" width="11.125" bestFit="1" customWidth="1"/>
    <col min="11" max="11" width="9.375" bestFit="1" customWidth="1"/>
  </cols>
  <sheetData>
    <row r="1" spans="1:10" x14ac:dyDescent="0.6">
      <c r="A1" s="17" t="s">
        <v>188</v>
      </c>
      <c r="B1" s="18"/>
      <c r="C1" s="18"/>
      <c r="D1" s="18"/>
      <c r="E1" s="18"/>
      <c r="F1" s="18"/>
      <c r="G1" s="18"/>
    </row>
    <row r="2" spans="1:10" x14ac:dyDescent="0.6">
      <c r="A2" s="18"/>
      <c r="B2" s="18"/>
      <c r="C2" s="18"/>
      <c r="D2" s="18"/>
      <c r="E2" s="18"/>
      <c r="F2" s="18"/>
      <c r="G2" s="18"/>
    </row>
    <row r="3" spans="1:10" x14ac:dyDescent="0.6">
      <c r="A3" s="18"/>
      <c r="B3" s="18"/>
      <c r="C3" s="18"/>
      <c r="D3" s="18"/>
      <c r="E3" s="18"/>
      <c r="F3" s="18"/>
      <c r="G3" s="18"/>
    </row>
    <row r="5" spans="1:10" x14ac:dyDescent="0.6">
      <c r="A5" t="s">
        <v>5</v>
      </c>
      <c r="H5" s="19" t="s">
        <v>179</v>
      </c>
      <c r="I5" s="19"/>
      <c r="J5" s="19"/>
    </row>
    <row r="7" spans="1:10" x14ac:dyDescent="0.6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H7" s="10"/>
      <c r="I7" s="10" t="s">
        <v>10</v>
      </c>
      <c r="J7" s="10" t="s">
        <v>5</v>
      </c>
    </row>
    <row r="8" spans="1:10" x14ac:dyDescent="0.6">
      <c r="A8" s="4" t="s">
        <v>12</v>
      </c>
      <c r="B8" s="5" t="s">
        <v>13</v>
      </c>
      <c r="C8" s="5" t="s">
        <v>14</v>
      </c>
      <c r="D8" s="5" t="s">
        <v>15</v>
      </c>
      <c r="E8" s="5">
        <v>2</v>
      </c>
      <c r="F8" s="6">
        <v>63000</v>
      </c>
      <c r="H8" s="10" t="s">
        <v>176</v>
      </c>
      <c r="I8" s="10">
        <f>MAX(E8:E44)-MIN(E8:E44)</f>
        <v>7</v>
      </c>
      <c r="J8" s="11">
        <f>MAX(F8:F44)-MIN(F8:F44)</f>
        <v>376000</v>
      </c>
    </row>
    <row r="9" spans="1:10" x14ac:dyDescent="0.6">
      <c r="A9" s="4" t="s">
        <v>16</v>
      </c>
      <c r="B9" s="5" t="s">
        <v>17</v>
      </c>
      <c r="C9" s="5" t="s">
        <v>14</v>
      </c>
      <c r="D9" s="5" t="s">
        <v>18</v>
      </c>
      <c r="E9" s="5">
        <v>4</v>
      </c>
      <c r="F9" s="6">
        <v>127000</v>
      </c>
      <c r="H9" s="10" t="s">
        <v>177</v>
      </c>
      <c r="I9" s="11">
        <f>VAR(E8:E44)</f>
        <v>3.3048048048048049</v>
      </c>
      <c r="J9" s="10">
        <f>VAR(F8:F44)</f>
        <v>8103244744.7447443</v>
      </c>
    </row>
    <row r="10" spans="1:10" x14ac:dyDescent="0.6">
      <c r="A10" s="7" t="s">
        <v>19</v>
      </c>
      <c r="B10" s="5" t="s">
        <v>20</v>
      </c>
      <c r="C10" s="5" t="s">
        <v>21</v>
      </c>
      <c r="D10" s="5" t="s">
        <v>18</v>
      </c>
      <c r="E10" s="5">
        <v>7</v>
      </c>
      <c r="F10" s="6">
        <v>303000</v>
      </c>
      <c r="H10" s="10" t="s">
        <v>178</v>
      </c>
      <c r="I10" s="11">
        <f>STDEV(E8:E44)</f>
        <v>1.8179122104229359</v>
      </c>
      <c r="J10" s="10">
        <f>STDEV(F8:F44)</f>
        <v>90018.02455477872</v>
      </c>
    </row>
    <row r="11" spans="1:10" x14ac:dyDescent="0.6">
      <c r="A11" s="4" t="s">
        <v>23</v>
      </c>
      <c r="B11" s="5" t="s">
        <v>24</v>
      </c>
      <c r="C11" s="5" t="s">
        <v>25</v>
      </c>
      <c r="D11" s="5" t="s">
        <v>15</v>
      </c>
      <c r="E11" s="5">
        <v>3</v>
      </c>
      <c r="F11" s="6">
        <v>123000</v>
      </c>
    </row>
    <row r="12" spans="1:10" x14ac:dyDescent="0.6">
      <c r="A12" s="4" t="s">
        <v>26</v>
      </c>
      <c r="B12" s="5" t="s">
        <v>20</v>
      </c>
      <c r="C12" s="5" t="s">
        <v>14</v>
      </c>
      <c r="D12" s="5" t="s">
        <v>28</v>
      </c>
      <c r="E12" s="5">
        <v>2</v>
      </c>
      <c r="F12" s="6">
        <v>63000</v>
      </c>
    </row>
    <row r="13" spans="1:10" x14ac:dyDescent="0.6">
      <c r="A13" s="7" t="s">
        <v>29</v>
      </c>
      <c r="B13" s="5" t="s">
        <v>30</v>
      </c>
      <c r="C13" s="5" t="s">
        <v>14</v>
      </c>
      <c r="D13" s="5" t="s">
        <v>18</v>
      </c>
      <c r="E13" s="5">
        <v>3</v>
      </c>
      <c r="F13" s="6">
        <v>95000</v>
      </c>
    </row>
    <row r="14" spans="1:10" x14ac:dyDescent="0.6">
      <c r="A14" s="4" t="s">
        <v>33</v>
      </c>
      <c r="B14" s="5" t="s">
        <v>13</v>
      </c>
      <c r="C14" s="5" t="s">
        <v>35</v>
      </c>
      <c r="D14" s="5" t="s">
        <v>18</v>
      </c>
      <c r="E14" s="5">
        <v>3</v>
      </c>
      <c r="F14" s="6">
        <v>127000</v>
      </c>
    </row>
    <row r="15" spans="1:10" x14ac:dyDescent="0.6">
      <c r="A15" s="8" t="s">
        <v>37</v>
      </c>
      <c r="B15" s="5" t="s">
        <v>20</v>
      </c>
      <c r="C15" s="5" t="s">
        <v>35</v>
      </c>
      <c r="D15" s="5" t="s">
        <v>18</v>
      </c>
      <c r="E15" s="5">
        <v>5</v>
      </c>
      <c r="F15" s="6">
        <v>215000</v>
      </c>
    </row>
    <row r="16" spans="1:10" x14ac:dyDescent="0.6">
      <c r="A16" s="8" t="s">
        <v>40</v>
      </c>
      <c r="B16" s="5" t="s">
        <v>24</v>
      </c>
      <c r="C16" s="5" t="s">
        <v>42</v>
      </c>
      <c r="D16" s="5" t="s">
        <v>15</v>
      </c>
      <c r="E16" s="5">
        <v>2</v>
      </c>
      <c r="F16" s="6">
        <v>42000</v>
      </c>
    </row>
    <row r="17" spans="1:6" x14ac:dyDescent="0.6">
      <c r="A17" s="8" t="s">
        <v>44</v>
      </c>
      <c r="B17" s="5" t="s">
        <v>20</v>
      </c>
      <c r="C17" s="5" t="s">
        <v>42</v>
      </c>
      <c r="D17" s="5" t="s">
        <v>28</v>
      </c>
      <c r="E17" s="5">
        <v>1</v>
      </c>
      <c r="F17" s="6">
        <v>26000</v>
      </c>
    </row>
    <row r="18" spans="1:6" x14ac:dyDescent="0.6">
      <c r="A18" s="4" t="s">
        <v>12</v>
      </c>
      <c r="B18" s="5" t="s">
        <v>17</v>
      </c>
      <c r="C18" s="5" t="s">
        <v>14</v>
      </c>
      <c r="D18" s="5" t="s">
        <v>18</v>
      </c>
      <c r="E18" s="5">
        <v>3</v>
      </c>
      <c r="F18" s="6">
        <v>95000</v>
      </c>
    </row>
    <row r="19" spans="1:6" x14ac:dyDescent="0.6">
      <c r="A19" s="8" t="s">
        <v>48</v>
      </c>
      <c r="B19" s="5" t="s">
        <v>49</v>
      </c>
      <c r="C19" s="5" t="s">
        <v>14</v>
      </c>
      <c r="D19" s="5" t="s">
        <v>15</v>
      </c>
      <c r="E19" s="5">
        <v>2</v>
      </c>
      <c r="F19" s="6">
        <v>63000</v>
      </c>
    </row>
    <row r="20" spans="1:6" x14ac:dyDescent="0.6">
      <c r="A20" s="4" t="s">
        <v>50</v>
      </c>
      <c r="B20" s="5" t="s">
        <v>30</v>
      </c>
      <c r="C20" s="5" t="s">
        <v>14</v>
      </c>
      <c r="D20" s="5" t="s">
        <v>28</v>
      </c>
      <c r="E20" s="5">
        <v>2</v>
      </c>
      <c r="F20" s="6">
        <v>63000</v>
      </c>
    </row>
    <row r="21" spans="1:6" x14ac:dyDescent="0.6">
      <c r="A21" s="7" t="s">
        <v>29</v>
      </c>
      <c r="B21" s="5" t="s">
        <v>20</v>
      </c>
      <c r="C21" s="5" t="s">
        <v>35</v>
      </c>
      <c r="D21" s="5" t="s">
        <v>18</v>
      </c>
      <c r="E21" s="5">
        <v>3</v>
      </c>
      <c r="F21" s="6">
        <v>127000</v>
      </c>
    </row>
    <row r="22" spans="1:6" x14ac:dyDescent="0.6">
      <c r="A22" s="4" t="s">
        <v>54</v>
      </c>
      <c r="B22" s="5" t="s">
        <v>49</v>
      </c>
      <c r="C22" s="5" t="s">
        <v>56</v>
      </c>
      <c r="D22" s="5" t="s">
        <v>15</v>
      </c>
      <c r="E22" s="5">
        <v>2</v>
      </c>
      <c r="F22" s="6">
        <v>74000</v>
      </c>
    </row>
    <row r="23" spans="1:6" x14ac:dyDescent="0.6">
      <c r="A23" s="4" t="s">
        <v>58</v>
      </c>
      <c r="B23" s="5" t="s">
        <v>24</v>
      </c>
      <c r="C23" s="5" t="s">
        <v>42</v>
      </c>
      <c r="D23" s="5" t="s">
        <v>28</v>
      </c>
      <c r="E23" s="5">
        <v>1</v>
      </c>
      <c r="F23" s="6">
        <v>26000</v>
      </c>
    </row>
    <row r="24" spans="1:6" x14ac:dyDescent="0.6">
      <c r="A24" s="4" t="s">
        <v>62</v>
      </c>
      <c r="B24" s="5" t="s">
        <v>17</v>
      </c>
      <c r="C24" s="5" t="s">
        <v>42</v>
      </c>
      <c r="D24" s="5" t="s">
        <v>18</v>
      </c>
      <c r="E24" s="5">
        <v>1</v>
      </c>
      <c r="F24" s="6">
        <v>26000</v>
      </c>
    </row>
    <row r="25" spans="1:6" x14ac:dyDescent="0.6">
      <c r="A25" s="4" t="s">
        <v>65</v>
      </c>
      <c r="B25" s="5" t="s">
        <v>20</v>
      </c>
      <c r="C25" s="5" t="s">
        <v>67</v>
      </c>
      <c r="D25" s="5" t="s">
        <v>18</v>
      </c>
      <c r="E25" s="5">
        <v>3</v>
      </c>
      <c r="F25" s="6">
        <v>112000</v>
      </c>
    </row>
    <row r="26" spans="1:6" x14ac:dyDescent="0.6">
      <c r="A26" s="4" t="s">
        <v>68</v>
      </c>
      <c r="B26" s="5" t="s">
        <v>49</v>
      </c>
      <c r="C26" s="5" t="s">
        <v>42</v>
      </c>
      <c r="D26" s="5" t="s">
        <v>28</v>
      </c>
      <c r="E26" s="5">
        <v>1</v>
      </c>
      <c r="F26" s="6">
        <v>26000</v>
      </c>
    </row>
    <row r="27" spans="1:6" x14ac:dyDescent="0.6">
      <c r="A27" s="4" t="s">
        <v>70</v>
      </c>
      <c r="B27" s="5" t="s">
        <v>20</v>
      </c>
      <c r="C27" s="5" t="s">
        <v>56</v>
      </c>
      <c r="D27" s="5" t="s">
        <v>18</v>
      </c>
      <c r="E27" s="5">
        <v>3</v>
      </c>
      <c r="F27" s="6">
        <v>112000</v>
      </c>
    </row>
    <row r="28" spans="1:6" x14ac:dyDescent="0.6">
      <c r="A28" s="4" t="s">
        <v>74</v>
      </c>
      <c r="B28" s="5" t="s">
        <v>49</v>
      </c>
      <c r="C28" s="5" t="s">
        <v>76</v>
      </c>
      <c r="D28" s="5" t="s">
        <v>18</v>
      </c>
      <c r="E28" s="5">
        <v>4</v>
      </c>
      <c r="F28" s="6">
        <v>171000</v>
      </c>
    </row>
    <row r="29" spans="1:6" x14ac:dyDescent="0.6">
      <c r="A29" s="7" t="s">
        <v>29</v>
      </c>
      <c r="B29" s="5" t="s">
        <v>20</v>
      </c>
      <c r="C29" s="5" t="s">
        <v>14</v>
      </c>
      <c r="D29" s="5" t="s">
        <v>28</v>
      </c>
      <c r="E29" s="5">
        <v>2</v>
      </c>
      <c r="F29" s="6">
        <v>63000</v>
      </c>
    </row>
    <row r="30" spans="1:6" x14ac:dyDescent="0.6">
      <c r="A30" s="7" t="s">
        <v>79</v>
      </c>
      <c r="B30" s="5" t="s">
        <v>49</v>
      </c>
      <c r="C30" s="5" t="s">
        <v>21</v>
      </c>
      <c r="D30" s="5" t="s">
        <v>28</v>
      </c>
      <c r="E30" s="5">
        <v>2</v>
      </c>
      <c r="F30" s="6">
        <v>83000</v>
      </c>
    </row>
    <row r="31" spans="1:6" x14ac:dyDescent="0.6">
      <c r="A31" s="4" t="s">
        <v>12</v>
      </c>
      <c r="B31" s="5" t="s">
        <v>13</v>
      </c>
      <c r="C31" s="5" t="s">
        <v>42</v>
      </c>
      <c r="D31" s="5" t="s">
        <v>28</v>
      </c>
      <c r="E31" s="5">
        <v>1</v>
      </c>
      <c r="F31" s="6">
        <v>26000</v>
      </c>
    </row>
    <row r="32" spans="1:6" x14ac:dyDescent="0.6">
      <c r="A32" s="7" t="s">
        <v>84</v>
      </c>
      <c r="B32" s="5" t="s">
        <v>30</v>
      </c>
      <c r="C32" s="5" t="s">
        <v>42</v>
      </c>
      <c r="D32" s="5" t="s">
        <v>28</v>
      </c>
      <c r="E32" s="5">
        <v>1</v>
      </c>
      <c r="F32" s="6">
        <v>26000</v>
      </c>
    </row>
    <row r="33" spans="1:6" x14ac:dyDescent="0.6">
      <c r="A33" s="7" t="s">
        <v>85</v>
      </c>
      <c r="B33" s="5" t="s">
        <v>20</v>
      </c>
      <c r="C33" s="5" t="s">
        <v>87</v>
      </c>
      <c r="D33" s="5" t="s">
        <v>18</v>
      </c>
      <c r="E33" s="5">
        <v>5</v>
      </c>
      <c r="F33" s="6">
        <v>215000</v>
      </c>
    </row>
    <row r="34" spans="1:6" x14ac:dyDescent="0.6">
      <c r="A34" s="4" t="s">
        <v>88</v>
      </c>
      <c r="B34" s="5" t="s">
        <v>49</v>
      </c>
      <c r="C34" s="5" t="s">
        <v>56</v>
      </c>
      <c r="D34" s="5" t="s">
        <v>15</v>
      </c>
      <c r="E34" s="5">
        <v>2</v>
      </c>
      <c r="F34" s="6">
        <v>74000</v>
      </c>
    </row>
    <row r="35" spans="1:6" x14ac:dyDescent="0.6">
      <c r="A35" s="4" t="s">
        <v>90</v>
      </c>
      <c r="B35" s="5" t="s">
        <v>20</v>
      </c>
      <c r="C35" s="5" t="s">
        <v>87</v>
      </c>
      <c r="D35" s="5" t="s">
        <v>18</v>
      </c>
      <c r="E35" s="5">
        <v>7</v>
      </c>
      <c r="F35" s="6">
        <v>303000</v>
      </c>
    </row>
    <row r="36" spans="1:6" x14ac:dyDescent="0.6">
      <c r="A36" s="4" t="s">
        <v>92</v>
      </c>
      <c r="B36" s="5" t="s">
        <v>49</v>
      </c>
      <c r="C36" s="5" t="s">
        <v>25</v>
      </c>
      <c r="D36" s="5" t="s">
        <v>18</v>
      </c>
      <c r="E36" s="5">
        <v>5</v>
      </c>
      <c r="F36" s="6">
        <v>211000</v>
      </c>
    </row>
    <row r="37" spans="1:6" x14ac:dyDescent="0.6">
      <c r="A37" s="4" t="s">
        <v>94</v>
      </c>
      <c r="B37" s="5" t="s">
        <v>20</v>
      </c>
      <c r="C37" s="5" t="s">
        <v>35</v>
      </c>
      <c r="D37" s="5" t="s">
        <v>18</v>
      </c>
      <c r="E37" s="5">
        <v>5</v>
      </c>
      <c r="F37" s="6">
        <v>215000</v>
      </c>
    </row>
    <row r="38" spans="1:6" x14ac:dyDescent="0.6">
      <c r="A38" s="4" t="s">
        <v>95</v>
      </c>
      <c r="B38" s="5" t="s">
        <v>49</v>
      </c>
      <c r="C38" s="5" t="s">
        <v>42</v>
      </c>
      <c r="D38" s="5" t="s">
        <v>15</v>
      </c>
      <c r="E38" s="5">
        <v>1</v>
      </c>
      <c r="F38" s="6">
        <v>26000</v>
      </c>
    </row>
    <row r="39" spans="1:6" x14ac:dyDescent="0.6">
      <c r="A39" s="4" t="s">
        <v>97</v>
      </c>
      <c r="B39" s="5" t="s">
        <v>13</v>
      </c>
      <c r="C39" s="5" t="s">
        <v>14</v>
      </c>
      <c r="D39" s="5" t="s">
        <v>15</v>
      </c>
      <c r="E39" s="5">
        <v>2</v>
      </c>
      <c r="F39" s="6">
        <v>63000</v>
      </c>
    </row>
    <row r="40" spans="1:6" x14ac:dyDescent="0.6">
      <c r="A40" s="4" t="s">
        <v>100</v>
      </c>
      <c r="B40" s="5" t="s">
        <v>24</v>
      </c>
      <c r="C40" s="5" t="s">
        <v>56</v>
      </c>
      <c r="D40" s="5" t="s">
        <v>28</v>
      </c>
      <c r="E40" s="5">
        <v>2</v>
      </c>
      <c r="F40" s="6">
        <v>74000</v>
      </c>
    </row>
    <row r="41" spans="1:6" x14ac:dyDescent="0.6">
      <c r="A41" s="4" t="s">
        <v>103</v>
      </c>
      <c r="B41" s="5" t="s">
        <v>17</v>
      </c>
      <c r="C41" s="5" t="s">
        <v>14</v>
      </c>
      <c r="D41" s="5" t="s">
        <v>28</v>
      </c>
      <c r="E41" s="5">
        <v>2</v>
      </c>
      <c r="F41" s="6">
        <v>63000</v>
      </c>
    </row>
    <row r="42" spans="1:6" x14ac:dyDescent="0.6">
      <c r="A42" s="4" t="s">
        <v>104</v>
      </c>
      <c r="B42" s="5" t="s">
        <v>20</v>
      </c>
      <c r="C42" s="5" t="s">
        <v>67</v>
      </c>
      <c r="D42" s="5" t="s">
        <v>18</v>
      </c>
      <c r="E42" s="5">
        <v>3</v>
      </c>
      <c r="F42" s="6">
        <v>112000</v>
      </c>
    </row>
    <row r="43" spans="1:6" x14ac:dyDescent="0.6">
      <c r="A43" s="4" t="s">
        <v>106</v>
      </c>
      <c r="B43" s="5" t="s">
        <v>17</v>
      </c>
      <c r="C43" s="5" t="s">
        <v>25</v>
      </c>
      <c r="D43" s="5" t="s">
        <v>18</v>
      </c>
      <c r="E43" s="5">
        <v>5</v>
      </c>
      <c r="F43" s="6">
        <v>211000</v>
      </c>
    </row>
    <row r="44" spans="1:6" x14ac:dyDescent="0.6">
      <c r="A44" s="4" t="s">
        <v>109</v>
      </c>
      <c r="B44" s="5" t="s">
        <v>20</v>
      </c>
      <c r="C44" s="5" t="s">
        <v>110</v>
      </c>
      <c r="D44" s="5" t="s">
        <v>18</v>
      </c>
      <c r="E44" s="5">
        <v>8</v>
      </c>
      <c r="F44" s="6">
        <v>402000</v>
      </c>
    </row>
  </sheetData>
  <mergeCells count="2">
    <mergeCell ref="A1:G3"/>
    <mergeCell ref="H5:J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227C-EFBB-4BC5-AC84-A6510B50B1E2}">
  <dimension ref="A1:L33"/>
  <sheetViews>
    <sheetView zoomScale="106" zoomScaleNormal="106" workbookViewId="0">
      <selection activeCell="I9" sqref="I9"/>
    </sheetView>
  </sheetViews>
  <sheetFormatPr defaultRowHeight="16.899999999999999" x14ac:dyDescent="0.6"/>
  <cols>
    <col min="5" max="5" width="10.875" bestFit="1" customWidth="1"/>
    <col min="6" max="6" width="12.375" customWidth="1"/>
    <col min="8" max="8" width="12.75" customWidth="1"/>
    <col min="9" max="9" width="16.25" bestFit="1" customWidth="1"/>
    <col min="10" max="10" width="13.625" customWidth="1"/>
    <col min="11" max="11" width="14.125" customWidth="1"/>
    <col min="12" max="12" width="13.125" bestFit="1" customWidth="1"/>
  </cols>
  <sheetData>
    <row r="1" spans="1:12" x14ac:dyDescent="0.6">
      <c r="A1" s="17" t="s">
        <v>189</v>
      </c>
      <c r="B1" s="18"/>
      <c r="C1" s="18"/>
      <c r="D1" s="18"/>
      <c r="E1" s="18"/>
      <c r="F1" s="18"/>
      <c r="G1" s="18"/>
    </row>
    <row r="2" spans="1:12" x14ac:dyDescent="0.6">
      <c r="A2" s="18"/>
      <c r="B2" s="18"/>
      <c r="C2" s="18"/>
      <c r="D2" s="18"/>
      <c r="E2" s="18"/>
      <c r="F2" s="18"/>
      <c r="G2" s="18"/>
    </row>
    <row r="3" spans="1:12" x14ac:dyDescent="0.6">
      <c r="A3" s="18"/>
      <c r="B3" s="18"/>
      <c r="C3" s="18"/>
      <c r="D3" s="18"/>
      <c r="E3" s="18"/>
      <c r="F3" s="18"/>
      <c r="G3" s="18"/>
    </row>
    <row r="5" spans="1:12" x14ac:dyDescent="0.6">
      <c r="A5" t="s">
        <v>111</v>
      </c>
      <c r="H5" s="19" t="s">
        <v>180</v>
      </c>
      <c r="I5" s="19"/>
      <c r="J5" s="19"/>
    </row>
    <row r="7" spans="1:12" x14ac:dyDescent="0.6">
      <c r="H7" s="10"/>
      <c r="I7" s="10" t="s">
        <v>116</v>
      </c>
      <c r="J7" s="10" t="s">
        <v>117</v>
      </c>
    </row>
    <row r="8" spans="1:12" x14ac:dyDescent="0.6">
      <c r="A8" s="3" t="s">
        <v>6</v>
      </c>
      <c r="B8" s="3" t="s">
        <v>7</v>
      </c>
      <c r="C8" s="3" t="s">
        <v>114</v>
      </c>
      <c r="D8" s="3" t="s">
        <v>115</v>
      </c>
      <c r="E8" s="3" t="s">
        <v>116</v>
      </c>
      <c r="F8" s="3" t="s">
        <v>117</v>
      </c>
      <c r="H8" s="10" t="s">
        <v>176</v>
      </c>
      <c r="I8" s="11">
        <f>MAX(E9:E33)-MIN(E9:E33)</f>
        <v>2500000</v>
      </c>
      <c r="J8" s="11">
        <f>MAX(F9:F33)-MIN(F9:F33)</f>
        <v>60000</v>
      </c>
    </row>
    <row r="9" spans="1:12" x14ac:dyDescent="0.6">
      <c r="A9" s="4" t="s">
        <v>118</v>
      </c>
      <c r="B9" s="5" t="s">
        <v>13</v>
      </c>
      <c r="C9" s="5" t="s">
        <v>120</v>
      </c>
      <c r="D9" s="5" t="s">
        <v>121</v>
      </c>
      <c r="E9" s="6">
        <v>3500000</v>
      </c>
      <c r="F9" s="6">
        <v>30000</v>
      </c>
      <c r="H9" s="10" t="s">
        <v>177</v>
      </c>
      <c r="I9" s="11">
        <f>VAR(E9:E33)</f>
        <v>638233333333.33337</v>
      </c>
      <c r="J9" s="10">
        <f>VAR(F9:F33)</f>
        <v>486000000</v>
      </c>
    </row>
    <row r="10" spans="1:12" x14ac:dyDescent="0.6">
      <c r="A10" s="4" t="s">
        <v>122</v>
      </c>
      <c r="B10" s="5" t="s">
        <v>17</v>
      </c>
      <c r="C10" s="5" t="s">
        <v>124</v>
      </c>
      <c r="D10" s="5" t="s">
        <v>125</v>
      </c>
      <c r="E10" s="6">
        <v>2800000</v>
      </c>
      <c r="F10" s="6">
        <v>0</v>
      </c>
      <c r="H10" s="10" t="s">
        <v>178</v>
      </c>
      <c r="I10" s="11">
        <f>STDEV(E9:E33)</f>
        <v>798895.07028979308</v>
      </c>
      <c r="J10" s="10">
        <f>STDEV(F9:F33)</f>
        <v>22045.407685048602</v>
      </c>
      <c r="L10" s="14"/>
    </row>
    <row r="11" spans="1:12" x14ac:dyDescent="0.6">
      <c r="A11" s="4" t="s">
        <v>126</v>
      </c>
      <c r="B11" s="5" t="s">
        <v>20</v>
      </c>
      <c r="C11" s="5" t="s">
        <v>120</v>
      </c>
      <c r="D11" s="5" t="s">
        <v>129</v>
      </c>
      <c r="E11" s="6">
        <v>2000000</v>
      </c>
      <c r="F11" s="6">
        <v>0</v>
      </c>
      <c r="I11" s="13"/>
    </row>
    <row r="12" spans="1:12" x14ac:dyDescent="0.6">
      <c r="A12" s="7" t="s">
        <v>130</v>
      </c>
      <c r="B12" s="5" t="s">
        <v>24</v>
      </c>
      <c r="C12" s="5" t="s">
        <v>120</v>
      </c>
      <c r="D12" s="5" t="s">
        <v>121</v>
      </c>
      <c r="E12" s="6">
        <v>3500000</v>
      </c>
      <c r="F12" s="6">
        <v>60000</v>
      </c>
      <c r="I12" s="13"/>
    </row>
    <row r="13" spans="1:12" x14ac:dyDescent="0.6">
      <c r="A13" s="8" t="s">
        <v>133</v>
      </c>
      <c r="B13" s="5" t="s">
        <v>20</v>
      </c>
      <c r="C13" s="5" t="s">
        <v>124</v>
      </c>
      <c r="D13" s="5" t="s">
        <v>125</v>
      </c>
      <c r="E13" s="6">
        <v>2800000</v>
      </c>
      <c r="F13" s="6">
        <v>30000</v>
      </c>
      <c r="I13" s="13"/>
    </row>
    <row r="14" spans="1:12" x14ac:dyDescent="0.6">
      <c r="A14" s="4" t="s">
        <v>135</v>
      </c>
      <c r="B14" s="5" t="s">
        <v>30</v>
      </c>
      <c r="C14" s="5" t="s">
        <v>120</v>
      </c>
      <c r="D14" s="5" t="s">
        <v>129</v>
      </c>
      <c r="E14" s="6">
        <v>2000000</v>
      </c>
      <c r="F14" s="6">
        <v>0</v>
      </c>
      <c r="I14" s="13"/>
    </row>
    <row r="15" spans="1:12" x14ac:dyDescent="0.6">
      <c r="A15" s="4" t="s">
        <v>137</v>
      </c>
      <c r="B15" s="5" t="s">
        <v>13</v>
      </c>
      <c r="C15" s="5" t="s">
        <v>120</v>
      </c>
      <c r="D15" s="5" t="s">
        <v>138</v>
      </c>
      <c r="E15" s="6">
        <v>4000000</v>
      </c>
      <c r="F15" s="6">
        <v>60000</v>
      </c>
      <c r="I15" s="13"/>
    </row>
    <row r="16" spans="1:12" x14ac:dyDescent="0.6">
      <c r="A16" s="7" t="s">
        <v>139</v>
      </c>
      <c r="B16" s="5" t="s">
        <v>20</v>
      </c>
      <c r="C16" s="5" t="s">
        <v>124</v>
      </c>
      <c r="D16" s="5" t="s">
        <v>129</v>
      </c>
      <c r="E16" s="6">
        <v>2000000</v>
      </c>
      <c r="F16" s="6">
        <v>0</v>
      </c>
    </row>
    <row r="17" spans="1:12" x14ac:dyDescent="0.6">
      <c r="A17" s="4" t="s">
        <v>142</v>
      </c>
      <c r="B17" s="5" t="s">
        <v>24</v>
      </c>
      <c r="C17" s="5" t="s">
        <v>120</v>
      </c>
      <c r="D17" s="5" t="s">
        <v>144</v>
      </c>
      <c r="E17" s="6">
        <v>4500000</v>
      </c>
      <c r="F17" s="6">
        <v>30000</v>
      </c>
      <c r="I17" s="13"/>
      <c r="K17" s="14"/>
    </row>
    <row r="18" spans="1:12" x14ac:dyDescent="0.6">
      <c r="A18" s="8" t="s">
        <v>145</v>
      </c>
      <c r="B18" s="5" t="s">
        <v>20</v>
      </c>
      <c r="C18" s="5" t="s">
        <v>124</v>
      </c>
      <c r="D18" s="5" t="s">
        <v>129</v>
      </c>
      <c r="E18" s="6">
        <v>2000000</v>
      </c>
      <c r="F18" s="6">
        <v>30000</v>
      </c>
    </row>
    <row r="19" spans="1:12" x14ac:dyDescent="0.6">
      <c r="A19" s="8" t="s">
        <v>146</v>
      </c>
      <c r="B19" s="5" t="s">
        <v>17</v>
      </c>
      <c r="C19" s="5" t="s">
        <v>124</v>
      </c>
      <c r="D19" s="5" t="s">
        <v>121</v>
      </c>
      <c r="E19" s="6">
        <v>3500000</v>
      </c>
      <c r="F19" s="6">
        <v>30000</v>
      </c>
      <c r="I19" s="13"/>
      <c r="L19" s="14"/>
    </row>
    <row r="20" spans="1:12" x14ac:dyDescent="0.6">
      <c r="A20" s="7" t="s">
        <v>148</v>
      </c>
      <c r="B20" s="5" t="s">
        <v>49</v>
      </c>
      <c r="C20" s="5" t="s">
        <v>120</v>
      </c>
      <c r="D20" s="5" t="s">
        <v>129</v>
      </c>
      <c r="E20" s="6">
        <v>2000000</v>
      </c>
      <c r="F20" s="6">
        <v>60000</v>
      </c>
      <c r="I20" s="13"/>
    </row>
    <row r="21" spans="1:12" x14ac:dyDescent="0.6">
      <c r="A21" s="8" t="s">
        <v>150</v>
      </c>
      <c r="B21" s="5" t="s">
        <v>30</v>
      </c>
      <c r="C21" s="5" t="s">
        <v>124</v>
      </c>
      <c r="D21" s="5" t="s">
        <v>125</v>
      </c>
      <c r="E21" s="6">
        <v>2800000</v>
      </c>
      <c r="F21" s="6">
        <v>30000</v>
      </c>
      <c r="I21" s="13"/>
    </row>
    <row r="22" spans="1:12" x14ac:dyDescent="0.6">
      <c r="A22" s="4" t="s">
        <v>151</v>
      </c>
      <c r="B22" s="5" t="s">
        <v>20</v>
      </c>
      <c r="C22" s="5" t="s">
        <v>124</v>
      </c>
      <c r="D22" s="5" t="s">
        <v>121</v>
      </c>
      <c r="E22" s="6">
        <v>3500000</v>
      </c>
      <c r="F22" s="6">
        <v>30000</v>
      </c>
      <c r="I22" s="13"/>
    </row>
    <row r="23" spans="1:12" x14ac:dyDescent="0.6">
      <c r="A23" s="4" t="s">
        <v>152</v>
      </c>
      <c r="B23" s="5" t="s">
        <v>49</v>
      </c>
      <c r="C23" s="5" t="s">
        <v>124</v>
      </c>
      <c r="D23" s="5" t="s">
        <v>129</v>
      </c>
      <c r="E23" s="6">
        <v>2000000</v>
      </c>
      <c r="F23" s="6">
        <v>0</v>
      </c>
      <c r="I23" s="13"/>
    </row>
    <row r="24" spans="1:12" x14ac:dyDescent="0.6">
      <c r="A24" s="4" t="s">
        <v>153</v>
      </c>
      <c r="B24" s="5" t="s">
        <v>24</v>
      </c>
      <c r="C24" s="5" t="s">
        <v>120</v>
      </c>
      <c r="D24" s="5" t="s">
        <v>125</v>
      </c>
      <c r="E24" s="6">
        <v>2800000</v>
      </c>
      <c r="F24" s="6">
        <v>60000</v>
      </c>
      <c r="I24" s="13"/>
    </row>
    <row r="25" spans="1:12" x14ac:dyDescent="0.6">
      <c r="A25" s="4" t="s">
        <v>154</v>
      </c>
      <c r="B25" s="5" t="s">
        <v>17</v>
      </c>
      <c r="C25" s="5" t="s">
        <v>124</v>
      </c>
      <c r="D25" s="5" t="s">
        <v>129</v>
      </c>
      <c r="E25" s="6">
        <v>2000000</v>
      </c>
      <c r="F25" s="6">
        <v>30000</v>
      </c>
    </row>
    <row r="26" spans="1:12" x14ac:dyDescent="0.6">
      <c r="A26" s="4" t="s">
        <v>158</v>
      </c>
      <c r="B26" s="5" t="s">
        <v>20</v>
      </c>
      <c r="C26" s="5" t="s">
        <v>124</v>
      </c>
      <c r="D26" s="5" t="s">
        <v>125</v>
      </c>
      <c r="E26" s="6">
        <v>2800000</v>
      </c>
      <c r="F26" s="6">
        <v>30000</v>
      </c>
    </row>
    <row r="27" spans="1:12" x14ac:dyDescent="0.6">
      <c r="A27" s="4" t="s">
        <v>159</v>
      </c>
      <c r="B27" s="5" t="s">
        <v>49</v>
      </c>
      <c r="C27" s="5" t="s">
        <v>124</v>
      </c>
      <c r="D27" s="5" t="s">
        <v>121</v>
      </c>
      <c r="E27" s="6">
        <v>3500000</v>
      </c>
      <c r="F27" s="6">
        <v>60000</v>
      </c>
    </row>
    <row r="28" spans="1:12" x14ac:dyDescent="0.6">
      <c r="A28" s="7" t="s">
        <v>162</v>
      </c>
      <c r="B28" s="5" t="s">
        <v>20</v>
      </c>
      <c r="C28" s="5" t="s">
        <v>120</v>
      </c>
      <c r="D28" s="5" t="s">
        <v>125</v>
      </c>
      <c r="E28" s="6">
        <v>2800000</v>
      </c>
      <c r="F28" s="6">
        <v>60000</v>
      </c>
    </row>
    <row r="29" spans="1:12" x14ac:dyDescent="0.6">
      <c r="A29" s="4" t="s">
        <v>163</v>
      </c>
      <c r="B29" s="5" t="s">
        <v>49</v>
      </c>
      <c r="C29" s="5" t="s">
        <v>124</v>
      </c>
      <c r="D29" s="5" t="s">
        <v>129</v>
      </c>
      <c r="E29" s="6">
        <v>2000000</v>
      </c>
      <c r="F29" s="6">
        <v>30000</v>
      </c>
    </row>
    <row r="30" spans="1:12" x14ac:dyDescent="0.6">
      <c r="A30" s="7" t="s">
        <v>164</v>
      </c>
      <c r="B30" s="5" t="s">
        <v>20</v>
      </c>
      <c r="C30" s="5" t="s">
        <v>120</v>
      </c>
      <c r="D30" s="5" t="s">
        <v>129</v>
      </c>
      <c r="E30" s="6">
        <v>2000000</v>
      </c>
      <c r="F30" s="6">
        <v>0</v>
      </c>
    </row>
    <row r="31" spans="1:12" x14ac:dyDescent="0.6">
      <c r="A31" s="7" t="s">
        <v>166</v>
      </c>
      <c r="B31" s="5" t="s">
        <v>49</v>
      </c>
      <c r="C31" s="5" t="s">
        <v>120</v>
      </c>
      <c r="D31" s="5" t="s">
        <v>138</v>
      </c>
      <c r="E31" s="6">
        <v>4000000</v>
      </c>
      <c r="F31" s="6">
        <v>30000</v>
      </c>
    </row>
    <row r="32" spans="1:12" x14ac:dyDescent="0.6">
      <c r="A32" s="7" t="s">
        <v>169</v>
      </c>
      <c r="B32" s="5" t="s">
        <v>13</v>
      </c>
      <c r="C32" s="5" t="s">
        <v>124</v>
      </c>
      <c r="D32" s="5" t="s">
        <v>125</v>
      </c>
      <c r="E32" s="6">
        <v>2800000</v>
      </c>
      <c r="F32" s="6">
        <v>30000</v>
      </c>
    </row>
    <row r="33" spans="1:6" x14ac:dyDescent="0.6">
      <c r="A33" s="7" t="s">
        <v>171</v>
      </c>
      <c r="B33" s="5" t="s">
        <v>30</v>
      </c>
      <c r="C33" s="5" t="s">
        <v>124</v>
      </c>
      <c r="D33" s="5" t="s">
        <v>138</v>
      </c>
      <c r="E33" s="6">
        <v>4000000</v>
      </c>
      <c r="F33" s="6">
        <v>60000</v>
      </c>
    </row>
  </sheetData>
  <mergeCells count="2">
    <mergeCell ref="A1:G3"/>
    <mergeCell ref="H5:J5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9E0B-2CD1-4C38-B91B-4B69AFF7B8EC}">
  <dimension ref="A1:D10"/>
  <sheetViews>
    <sheetView workbookViewId="0">
      <selection activeCell="G27" sqref="G27"/>
    </sheetView>
  </sheetViews>
  <sheetFormatPr defaultColWidth="8.875" defaultRowHeight="16.899999999999999" x14ac:dyDescent="0.6"/>
  <sheetData>
    <row r="1" spans="1:4" x14ac:dyDescent="0.6">
      <c r="A1">
        <v>71</v>
      </c>
      <c r="C1" t="s">
        <v>184</v>
      </c>
      <c r="D1">
        <f>MIN(A1:A10)</f>
        <v>45</v>
      </c>
    </row>
    <row r="2" spans="1:4" x14ac:dyDescent="0.6">
      <c r="A2">
        <v>81</v>
      </c>
      <c r="C2" t="s">
        <v>185</v>
      </c>
      <c r="D2">
        <f>QUARTILE(A1:A10,1)</f>
        <v>59.25</v>
      </c>
    </row>
    <row r="3" spans="1:4" x14ac:dyDescent="0.6">
      <c r="A3">
        <v>58</v>
      </c>
      <c r="C3" t="s">
        <v>4</v>
      </c>
      <c r="D3">
        <f>MEDIAN(A1:A10)</f>
        <v>62</v>
      </c>
    </row>
    <row r="4" spans="1:4" x14ac:dyDescent="0.6">
      <c r="A4">
        <v>60</v>
      </c>
      <c r="C4" t="s">
        <v>186</v>
      </c>
      <c r="D4">
        <f>QUARTILE(A1:A10,3)</f>
        <v>69.75</v>
      </c>
    </row>
    <row r="5" spans="1:4" x14ac:dyDescent="0.6">
      <c r="A5">
        <v>63</v>
      </c>
      <c r="C5" t="s">
        <v>187</v>
      </c>
      <c r="D5">
        <f>MAX(A1:A10)</f>
        <v>81</v>
      </c>
    </row>
    <row r="6" spans="1:4" x14ac:dyDescent="0.6">
      <c r="A6">
        <v>59</v>
      </c>
      <c r="C6" t="s">
        <v>3</v>
      </c>
      <c r="D6">
        <f>AVERAGE(A1:A10)</f>
        <v>63.5</v>
      </c>
    </row>
    <row r="7" spans="1:4" x14ac:dyDescent="0.6">
      <c r="A7">
        <v>71</v>
      </c>
    </row>
    <row r="8" spans="1:4" x14ac:dyDescent="0.6">
      <c r="A8">
        <v>66</v>
      </c>
    </row>
    <row r="9" spans="1:4" x14ac:dyDescent="0.6">
      <c r="A9">
        <v>61</v>
      </c>
    </row>
    <row r="10" spans="1:4" x14ac:dyDescent="0.6">
      <c r="A10">
        <v>45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850E-408F-4A22-A5F3-8F89AD7AAC11}">
  <dimension ref="A1:B12"/>
  <sheetViews>
    <sheetView workbookViewId="0">
      <selection activeCell="O18" sqref="O18"/>
    </sheetView>
  </sheetViews>
  <sheetFormatPr defaultColWidth="8.875" defaultRowHeight="16.899999999999999" x14ac:dyDescent="0.6"/>
  <sheetData>
    <row r="1" spans="1:2" x14ac:dyDescent="0.6">
      <c r="A1" t="s">
        <v>181</v>
      </c>
      <c r="B1" t="s">
        <v>182</v>
      </c>
    </row>
    <row r="2" spans="1:2" x14ac:dyDescent="0.6">
      <c r="A2">
        <v>71</v>
      </c>
      <c r="B2">
        <v>61</v>
      </c>
    </row>
    <row r="3" spans="1:2" x14ac:dyDescent="0.6">
      <c r="A3">
        <v>81</v>
      </c>
      <c r="B3">
        <v>73</v>
      </c>
    </row>
    <row r="4" spans="1:2" x14ac:dyDescent="0.6">
      <c r="A4">
        <v>59</v>
      </c>
      <c r="B4">
        <v>56</v>
      </c>
    </row>
    <row r="5" spans="1:2" x14ac:dyDescent="0.6">
      <c r="A5">
        <v>60</v>
      </c>
      <c r="B5">
        <v>65</v>
      </c>
    </row>
    <row r="6" spans="1:2" x14ac:dyDescent="0.6">
      <c r="A6">
        <v>63</v>
      </c>
      <c r="B6">
        <v>60</v>
      </c>
    </row>
    <row r="7" spans="1:2" x14ac:dyDescent="0.6">
      <c r="A7">
        <v>76</v>
      </c>
      <c r="B7">
        <v>49</v>
      </c>
    </row>
    <row r="8" spans="1:2" x14ac:dyDescent="0.6">
      <c r="A8">
        <v>58</v>
      </c>
      <c r="B8">
        <v>51</v>
      </c>
    </row>
    <row r="9" spans="1:2" x14ac:dyDescent="0.6">
      <c r="A9">
        <v>69</v>
      </c>
      <c r="B9">
        <v>52</v>
      </c>
    </row>
    <row r="10" spans="1:2" x14ac:dyDescent="0.6">
      <c r="A10">
        <v>62</v>
      </c>
      <c r="B10">
        <v>78</v>
      </c>
    </row>
    <row r="11" spans="1:2" x14ac:dyDescent="0.6">
      <c r="A11">
        <v>54</v>
      </c>
    </row>
    <row r="12" spans="1:2" x14ac:dyDescent="0.6">
      <c r="A12">
        <v>31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5554-F375-4E3F-AEA8-DD08BA50EA03}">
  <dimension ref="A1:B20"/>
  <sheetViews>
    <sheetView workbookViewId="0">
      <selection activeCell="H3" sqref="H3"/>
    </sheetView>
  </sheetViews>
  <sheetFormatPr defaultColWidth="8.875" defaultRowHeight="16.899999999999999" x14ac:dyDescent="0.6"/>
  <sheetData>
    <row r="1" spans="1:2" x14ac:dyDescent="0.6">
      <c r="A1" t="s">
        <v>181</v>
      </c>
      <c r="B1">
        <v>71</v>
      </c>
    </row>
    <row r="2" spans="1:2" x14ac:dyDescent="0.6">
      <c r="A2" t="s">
        <v>182</v>
      </c>
      <c r="B2">
        <v>61</v>
      </c>
    </row>
    <row r="3" spans="1:2" x14ac:dyDescent="0.6">
      <c r="A3" t="s">
        <v>181</v>
      </c>
      <c r="B3">
        <v>81</v>
      </c>
    </row>
    <row r="4" spans="1:2" x14ac:dyDescent="0.6">
      <c r="A4" t="s">
        <v>182</v>
      </c>
      <c r="B4">
        <v>73</v>
      </c>
    </row>
    <row r="5" spans="1:2" x14ac:dyDescent="0.6">
      <c r="A5" t="s">
        <v>181</v>
      </c>
      <c r="B5">
        <v>59</v>
      </c>
    </row>
    <row r="6" spans="1:2" x14ac:dyDescent="0.6">
      <c r="A6" t="s">
        <v>182</v>
      </c>
      <c r="B6">
        <v>56</v>
      </c>
    </row>
    <row r="7" spans="1:2" x14ac:dyDescent="0.6">
      <c r="A7" t="s">
        <v>181</v>
      </c>
      <c r="B7">
        <v>60</v>
      </c>
    </row>
    <row r="8" spans="1:2" x14ac:dyDescent="0.6">
      <c r="A8" t="s">
        <v>182</v>
      </c>
      <c r="B8">
        <v>65</v>
      </c>
    </row>
    <row r="9" spans="1:2" x14ac:dyDescent="0.6">
      <c r="A9" t="s">
        <v>181</v>
      </c>
      <c r="B9">
        <v>63</v>
      </c>
    </row>
    <row r="10" spans="1:2" x14ac:dyDescent="0.6">
      <c r="A10" t="s">
        <v>182</v>
      </c>
      <c r="B10">
        <v>60</v>
      </c>
    </row>
    <row r="11" spans="1:2" x14ac:dyDescent="0.6">
      <c r="A11" t="s">
        <v>181</v>
      </c>
      <c r="B11">
        <v>76</v>
      </c>
    </row>
    <row r="12" spans="1:2" x14ac:dyDescent="0.6">
      <c r="A12" t="s">
        <v>182</v>
      </c>
      <c r="B12">
        <v>49</v>
      </c>
    </row>
    <row r="13" spans="1:2" x14ac:dyDescent="0.6">
      <c r="A13" t="s">
        <v>181</v>
      </c>
      <c r="B13">
        <v>58</v>
      </c>
    </row>
    <row r="14" spans="1:2" x14ac:dyDescent="0.6">
      <c r="A14" t="s">
        <v>182</v>
      </c>
      <c r="B14">
        <v>51</v>
      </c>
    </row>
    <row r="15" spans="1:2" x14ac:dyDescent="0.6">
      <c r="A15" t="s">
        <v>181</v>
      </c>
      <c r="B15">
        <v>69</v>
      </c>
    </row>
    <row r="16" spans="1:2" x14ac:dyDescent="0.6">
      <c r="A16" t="s">
        <v>182</v>
      </c>
      <c r="B16">
        <v>52</v>
      </c>
    </row>
    <row r="17" spans="1:2" x14ac:dyDescent="0.6">
      <c r="A17" t="s">
        <v>181</v>
      </c>
      <c r="B17">
        <v>62</v>
      </c>
    </row>
    <row r="18" spans="1:2" x14ac:dyDescent="0.6">
      <c r="A18" t="s">
        <v>182</v>
      </c>
      <c r="B18">
        <v>78</v>
      </c>
    </row>
    <row r="19" spans="1:2" x14ac:dyDescent="0.6">
      <c r="A19" t="s">
        <v>181</v>
      </c>
      <c r="B19">
        <v>54</v>
      </c>
    </row>
    <row r="20" spans="1:2" x14ac:dyDescent="0.6">
      <c r="A20" t="s">
        <v>181</v>
      </c>
      <c r="B20">
        <v>31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예제1</vt:lpstr>
      <vt:lpstr>실습1</vt:lpstr>
      <vt:lpstr>실습2</vt:lpstr>
      <vt:lpstr>예제2</vt:lpstr>
      <vt:lpstr>실습3</vt:lpstr>
      <vt:lpstr>실습4</vt:lpstr>
      <vt:lpstr>예제3</vt:lpstr>
      <vt:lpstr>실습5</vt:lpstr>
      <vt:lpstr>실습6</vt:lpstr>
      <vt:lpstr>(참고)예제2답안</vt:lpstr>
      <vt:lpstr>(참고)실습3답안</vt:lpstr>
      <vt:lpstr>(참고)실습4답안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하연 변</cp:lastModifiedBy>
  <dcterms:created xsi:type="dcterms:W3CDTF">2011-12-06T06:26:30Z</dcterms:created>
  <dcterms:modified xsi:type="dcterms:W3CDTF">2026-10-19T03:45:11Z</dcterms:modified>
</cp:coreProperties>
</file>