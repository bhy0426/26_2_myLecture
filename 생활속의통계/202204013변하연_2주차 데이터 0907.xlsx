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S\Downloads\"/>
    </mc:Choice>
  </mc:AlternateContent>
  <xr:revisionPtr revIDLastSave="0" documentId="13_ncr:1_{F5FAC38C-C685-42E8-A40A-89281F80B2FB}" xr6:coauthVersionLast="47" xr6:coauthVersionMax="47" xr10:uidLastSave="{00000000-0000-0000-0000-000000000000}"/>
  <bookViews>
    <workbookView xWindow="-98" yWindow="-98" windowWidth="21795" windowHeight="12975" activeTab="5" xr2:uid="{F6403738-FB68-43CE-8571-B04BDB7D9E84}"/>
  </bookViews>
  <sheets>
    <sheet name="예제1" sheetId="13" r:id="rId1"/>
    <sheet name="실습1" sheetId="3" r:id="rId2"/>
    <sheet name="실습2" sheetId="6" r:id="rId3"/>
    <sheet name="예제2" sheetId="8" r:id="rId4"/>
    <sheet name="실습4" sheetId="15" r:id="rId5"/>
    <sheet name="실습5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6" l="1"/>
  <c r="G7" i="6"/>
  <c r="G9" i="6" s="1"/>
  <c r="G6" i="6"/>
  <c r="E6" i="3"/>
  <c r="E8" i="3"/>
  <c r="E7" i="3"/>
  <c r="E9" i="3" s="1"/>
  <c r="F5" i="13"/>
  <c r="F4" i="13"/>
  <c r="F6" i="13"/>
  <c r="B10" i="16" l="1"/>
</calcChain>
</file>

<file path=xl/sharedStrings.xml><?xml version="1.0" encoding="utf-8"?>
<sst xmlns="http://schemas.openxmlformats.org/spreadsheetml/2006/main" count="46" uniqueCount="42">
  <si>
    <t>계급구간</t>
    <phoneticPr fontId="1" type="noConversion"/>
  </si>
  <si>
    <t>계급</t>
  </si>
  <si>
    <t>빈도수</t>
  </si>
  <si>
    <t>1. 다음은 어느 반 학생 40명에 대한 통학에 걸리는 시간(단위 :분)을 조사한 것이다. 데이터에 대해 6개(또는 7개)의 계급으로 나누어 도수분포표를 작성하시오.</t>
    <phoneticPr fontId="1" type="noConversion"/>
  </si>
  <si>
    <t>빈도</t>
    <phoneticPr fontId="0" type="Hiragana"/>
  </si>
  <si>
    <t>김치찌개</t>
    <phoneticPr fontId="0" type="Hiragana"/>
  </si>
  <si>
    <t>비빔밥</t>
    <phoneticPr fontId="0" type="Hiragana"/>
  </si>
  <si>
    <t>돈까스</t>
    <phoneticPr fontId="0" type="Hiragana"/>
  </si>
  <si>
    <t>된장찌개</t>
    <phoneticPr fontId="0" type="Hiragana"/>
  </si>
  <si>
    <t>백반</t>
    <phoneticPr fontId="0" type="Hiragana"/>
  </si>
  <si>
    <t>구분</t>
    <phoneticPr fontId="1" type="noConversion"/>
  </si>
  <si>
    <t>계급의 수</t>
    <phoneticPr fontId="1" type="noConversion"/>
  </si>
  <si>
    <t>최대값</t>
    <phoneticPr fontId="1" type="noConversion"/>
  </si>
  <si>
    <t>최소값</t>
    <phoneticPr fontId="1" type="noConversion"/>
  </si>
  <si>
    <t>단위:천만원</t>
    <phoneticPr fontId="1" type="noConversion"/>
  </si>
  <si>
    <t>프로야구선수 연봉데이터</t>
    <phoneticPr fontId="1" type="noConversion"/>
  </si>
  <si>
    <t xml:space="preserve">2. 다음은 어느 회사의 전 사원 30명에 대한 근무연수(단위:년)를 나타낸 것이다. 데이터에 대해 5개(또는 6개)의 계급으로 나누어 도수분포표를 작성하시오. </t>
    <phoneticPr fontId="1" type="noConversion"/>
  </si>
  <si>
    <t>선호하는
점심메뉴</t>
    <phoneticPr fontId="0" type="Hiragana"/>
  </si>
  <si>
    <t>코로나19</t>
    <phoneticPr fontId="1" type="noConversion"/>
  </si>
  <si>
    <t>확진자</t>
    <phoneticPr fontId="1" type="noConversion"/>
  </si>
  <si>
    <t>사망자</t>
    <phoneticPr fontId="1" type="noConversion"/>
  </si>
  <si>
    <t>출처 : 질병관리청</t>
    <phoneticPr fontId="1" type="noConversion"/>
  </si>
  <si>
    <t>합계</t>
    <phoneticPr fontId="1" type="noConversion"/>
  </si>
  <si>
    <t>기타</t>
    <phoneticPr fontId="1" type="noConversion"/>
  </si>
  <si>
    <t>SKT</t>
    <phoneticPr fontId="1" type="noConversion"/>
  </si>
  <si>
    <t>LGT</t>
    <phoneticPr fontId="1" type="noConversion"/>
  </si>
  <si>
    <t>KT</t>
    <phoneticPr fontId="1" type="noConversion"/>
  </si>
  <si>
    <t>인원수</t>
    <phoneticPr fontId="1" type="noConversion"/>
  </si>
  <si>
    <t>통신사</t>
    <phoneticPr fontId="1" type="noConversion"/>
  </si>
  <si>
    <t>[실습4]
다음은 2020년 1월부터 2021년 3월까지 국내 코로나바이러스 확진자와 사망자 수이다.
막대그래프를 사용하여 확진자와 사망자 수를 시각화해보세요.</t>
    <phoneticPr fontId="1" type="noConversion"/>
  </si>
  <si>
    <t xml:space="preserve">[실습5] 
다음은 [생활속의 통계] 수강생들이 가입한 휴대전화의 통신사를 조사한 데이터이다. 이 데이터를 원그래프를 사용하여 시각화하시오.
</t>
    <phoneticPr fontId="1" type="noConversion"/>
  </si>
  <si>
    <t>계급의 크기
(구간의 너비)</t>
    <phoneticPr fontId="1" type="noConversion"/>
  </si>
  <si>
    <t>계급의 수</t>
    <phoneticPr fontId="1" type="noConversion"/>
  </si>
  <si>
    <t>최댓값</t>
    <phoneticPr fontId="1" type="noConversion"/>
  </si>
  <si>
    <t>최솟값</t>
    <phoneticPr fontId="1" type="noConversion"/>
  </si>
  <si>
    <t>계급 크기</t>
    <phoneticPr fontId="1" type="noConversion"/>
  </si>
  <si>
    <t>계급구간</t>
    <phoneticPr fontId="1" type="noConversion"/>
  </si>
  <si>
    <t>계급의 수</t>
    <phoneticPr fontId="1" type="noConversion"/>
  </si>
  <si>
    <t>최댓값</t>
    <phoneticPr fontId="1" type="noConversion"/>
  </si>
  <si>
    <t>최솟값</t>
    <phoneticPr fontId="1" type="noConversion"/>
  </si>
  <si>
    <t>계급 크기</t>
    <phoneticPr fontId="1" type="noConversion"/>
  </si>
  <si>
    <t>계급 구간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</si>
</sst>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_);[Red]\(#,##0\)"/>
    <numFmt numFmtId="178" formatCode="yyyy&quot;년&quot;mm&quot;월&quot;"/>
    <numFmt numFmtId="179" formatCode="0.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5" fillId="0" borderId="0" xfId="0" applyNumberFormat="1" applyFont="1" applyAlignment="1">
      <alignment horizontal="right" vertical="center"/>
    </xf>
    <xf numFmtId="0" fontId="0" fillId="2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indent="1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numRef>
              <c:f>예제1!$H$9:$H$14</c:f>
              <c:numCache>
                <c:formatCode>General</c:formatCode>
                <c:ptCount val="6"/>
                <c:pt idx="0">
                  <c:v>50</c:v>
                </c:pt>
                <c:pt idx="1">
                  <c:v>70</c:v>
                </c:pt>
                <c:pt idx="2">
                  <c:v>90</c:v>
                </c:pt>
                <c:pt idx="3">
                  <c:v>110</c:v>
                </c:pt>
                <c:pt idx="4">
                  <c:v>130</c:v>
                </c:pt>
                <c:pt idx="5">
                  <c:v>150</c:v>
                </c:pt>
              </c:numCache>
            </c:numRef>
          </c:cat>
          <c:val>
            <c:numRef>
              <c:f>예제1!$I$9:$I$14</c:f>
              <c:numCache>
                <c:formatCode>General</c:formatCode>
                <c:ptCount val="6"/>
                <c:pt idx="0">
                  <c:v>19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9-4208-BAB2-D1A911E28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626047"/>
        <c:axId val="1449217231"/>
      </c:barChart>
      <c:catAx>
        <c:axId val="166162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9217231"/>
        <c:crosses val="autoZero"/>
        <c:auto val="1"/>
        <c:lblAlgn val="ctr"/>
        <c:lblOffset val="100"/>
        <c:noMultiLvlLbl val="0"/>
      </c:catAx>
      <c:valAx>
        <c:axId val="1449217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16260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numRef>
              <c:f>실습1!$G$11:$G$17</c:f>
              <c:numCache>
                <c:formatCode>General</c:formatCode>
                <c:ptCount val="7"/>
                <c:pt idx="0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90</c:v>
                </c:pt>
                <c:pt idx="5">
                  <c:v>105</c:v>
                </c:pt>
                <c:pt idx="6">
                  <c:v>120</c:v>
                </c:pt>
              </c:numCache>
            </c:numRef>
          </c:cat>
          <c:val>
            <c:numRef>
              <c:f>실습1!$H$11:$H$17</c:f>
              <c:numCache>
                <c:formatCode>General</c:formatCode>
                <c:ptCount val="7"/>
                <c:pt idx="0">
                  <c:v>9</c:v>
                </c:pt>
                <c:pt idx="1">
                  <c:v>8</c:v>
                </c:pt>
                <c:pt idx="2">
                  <c:v>14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5-4C21-A94C-3C850AEC0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8235967"/>
        <c:axId val="1449174031"/>
      </c:barChart>
      <c:catAx>
        <c:axId val="178823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9174031"/>
        <c:crosses val="autoZero"/>
        <c:auto val="1"/>
        <c:lblAlgn val="ctr"/>
        <c:lblOffset val="100"/>
        <c:noMultiLvlLbl val="0"/>
      </c:catAx>
      <c:valAx>
        <c:axId val="1449174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82359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numRef>
              <c:f>실습2!$I$11:$I$15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cat>
          <c:val>
            <c:numRef>
              <c:f>실습2!$J$11:$J$15</c:f>
              <c:numCache>
                <c:formatCode>General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E-40B4-8721-29D85A6DC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911759"/>
        <c:axId val="1449175951"/>
      </c:barChart>
      <c:catAx>
        <c:axId val="166691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9175951"/>
        <c:crosses val="autoZero"/>
        <c:auto val="1"/>
        <c:lblAlgn val="ctr"/>
        <c:lblOffset val="100"/>
        <c:noMultiLvlLbl val="0"/>
      </c:catAx>
      <c:valAx>
        <c:axId val="14491759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691175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선호하는 점심메뉴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예제2!$A$2</c:f>
              <c:strCache>
                <c:ptCount val="1"/>
                <c:pt idx="0">
                  <c:v>김치찌개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예제2!$B$2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6-4C1D-815B-F0215F95AB9D}"/>
            </c:ext>
          </c:extLst>
        </c:ser>
        <c:ser>
          <c:idx val="1"/>
          <c:order val="1"/>
          <c:tx>
            <c:strRef>
              <c:f>예제2!$A$3</c:f>
              <c:strCache>
                <c:ptCount val="1"/>
                <c:pt idx="0">
                  <c:v>비빔밥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예제2!$B$3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6-4C1D-815B-F0215F95AB9D}"/>
            </c:ext>
          </c:extLst>
        </c:ser>
        <c:ser>
          <c:idx val="2"/>
          <c:order val="2"/>
          <c:tx>
            <c:strRef>
              <c:f>예제2!$A$4</c:f>
              <c:strCache>
                <c:ptCount val="1"/>
                <c:pt idx="0">
                  <c:v>돈까스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6-4C1D-815B-F0215F95AB9D}"/>
            </c:ext>
          </c:extLst>
        </c:ser>
        <c:ser>
          <c:idx val="3"/>
          <c:order val="3"/>
          <c:tx>
            <c:strRef>
              <c:f>예제2!$A$5</c:f>
              <c:strCache>
                <c:ptCount val="1"/>
                <c:pt idx="0">
                  <c:v>된장찌개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76-4C1D-815B-F0215F95AB9D}"/>
            </c:ext>
          </c:extLst>
        </c:ser>
        <c:ser>
          <c:idx val="4"/>
          <c:order val="4"/>
          <c:tx>
            <c:strRef>
              <c:f>예제2!$A$6</c:f>
              <c:strCache>
                <c:ptCount val="1"/>
                <c:pt idx="0">
                  <c:v>백반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76-4C1D-815B-F0215F9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925215"/>
        <c:axId val="1449216271"/>
      </c:barChart>
      <c:catAx>
        <c:axId val="16669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9216271"/>
        <c:crosses val="autoZero"/>
        <c:auto val="1"/>
        <c:lblAlgn val="ctr"/>
        <c:lblOffset val="100"/>
        <c:noMultiLvlLbl val="0"/>
      </c:catAx>
      <c:valAx>
        <c:axId val="14492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692521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선호하는 점심메뉴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7F-48A0-8355-6174F63A49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7F-48A0-8355-6174F63A49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7F-48A0-8355-6174F63A49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7F-48A0-8355-6174F63A49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7F-48A0-8355-6174F63A499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예제2!$A$2:$A$6</c:f>
              <c:strCache>
                <c:ptCount val="5"/>
                <c:pt idx="0">
                  <c:v>김치찌개</c:v>
                </c:pt>
                <c:pt idx="1">
                  <c:v>비빔밥</c:v>
                </c:pt>
                <c:pt idx="2">
                  <c:v>돈까스</c:v>
                </c:pt>
                <c:pt idx="3">
                  <c:v>된장찌개</c:v>
                </c:pt>
                <c:pt idx="4">
                  <c:v>백반</c:v>
                </c:pt>
              </c:strCache>
            </c:strRef>
          </c:cat>
          <c:val>
            <c:numRef>
              <c:f>예제2!$B$2:$B$6</c:f>
              <c:numCache>
                <c:formatCode>General</c:formatCode>
                <c:ptCount val="5"/>
                <c:pt idx="0">
                  <c:v>40</c:v>
                </c:pt>
                <c:pt idx="1">
                  <c:v>22</c:v>
                </c:pt>
                <c:pt idx="2">
                  <c:v>15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6-4E69-BC0D-33A3E83FA3B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실습4!$B$4:$B$5</c:f>
              <c:strCache>
                <c:ptCount val="2"/>
                <c:pt idx="0">
                  <c:v>코로나19</c:v>
                </c:pt>
                <c:pt idx="1">
                  <c:v>확진자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실습4!$A$6:$A$20</c:f>
              <c:numCache>
                <c:formatCode>yyyy"년"mm"월"</c:formatCode>
                <c:ptCount val="1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</c:numCache>
            </c:numRef>
          </c:cat>
          <c:val>
            <c:numRef>
              <c:f>실습4!$B$6:$B$20</c:f>
              <c:numCache>
                <c:formatCode>General</c:formatCode>
                <c:ptCount val="15"/>
                <c:pt idx="0">
                  <c:v>12</c:v>
                </c:pt>
                <c:pt idx="1">
                  <c:v>3514</c:v>
                </c:pt>
                <c:pt idx="2">
                  <c:v>6361</c:v>
                </c:pt>
                <c:pt idx="3">
                  <c:v>887</c:v>
                </c:pt>
                <c:pt idx="4">
                  <c:v>729</c:v>
                </c:pt>
                <c:pt idx="5">
                  <c:v>1347</c:v>
                </c:pt>
                <c:pt idx="6">
                  <c:v>1486</c:v>
                </c:pt>
                <c:pt idx="7">
                  <c:v>5846</c:v>
                </c:pt>
                <c:pt idx="8">
                  <c:v>3707</c:v>
                </c:pt>
                <c:pt idx="9">
                  <c:v>2746</c:v>
                </c:pt>
                <c:pt idx="10">
                  <c:v>8017</c:v>
                </c:pt>
                <c:pt idx="11">
                  <c:v>27117</c:v>
                </c:pt>
                <c:pt idx="12">
                  <c:v>16739</c:v>
                </c:pt>
                <c:pt idx="13">
                  <c:v>11543</c:v>
                </c:pt>
                <c:pt idx="14">
                  <c:v>13588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9-483A-BFE9-4FCE4F535C61}"/>
            </c:ext>
          </c:extLst>
        </c:ser>
        <c:ser>
          <c:idx val="1"/>
          <c:order val="1"/>
          <c:tx>
            <c:strRef>
              <c:f>실습4!$C$4:$C$5</c:f>
              <c:strCache>
                <c:ptCount val="2"/>
                <c:pt idx="0">
                  <c:v>코로나19</c:v>
                </c:pt>
                <c:pt idx="1">
                  <c:v>사망자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실습4!$A$6:$A$20</c:f>
              <c:numCache>
                <c:formatCode>yyyy"년"mm"월"</c:formatCode>
                <c:ptCount val="1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</c:numCache>
            </c:numRef>
          </c:cat>
          <c:val>
            <c:numRef>
              <c:f>실습4!$C$6:$C$20</c:f>
              <c:numCache>
                <c:formatCode>General</c:formatCode>
                <c:ptCount val="15"/>
                <c:pt idx="1">
                  <c:v>17</c:v>
                </c:pt>
                <c:pt idx="2">
                  <c:v>148</c:v>
                </c:pt>
                <c:pt idx="3">
                  <c:v>83</c:v>
                </c:pt>
                <c:pt idx="4">
                  <c:v>23</c:v>
                </c:pt>
                <c:pt idx="5">
                  <c:v>11</c:v>
                </c:pt>
                <c:pt idx="6">
                  <c:v>19</c:v>
                </c:pt>
                <c:pt idx="7">
                  <c:v>23</c:v>
                </c:pt>
                <c:pt idx="8">
                  <c:v>91</c:v>
                </c:pt>
                <c:pt idx="9">
                  <c:v>51</c:v>
                </c:pt>
                <c:pt idx="10">
                  <c:v>60</c:v>
                </c:pt>
                <c:pt idx="11">
                  <c:v>391</c:v>
                </c:pt>
                <c:pt idx="12">
                  <c:v>508</c:v>
                </c:pt>
                <c:pt idx="13">
                  <c:v>180</c:v>
                </c:pt>
                <c:pt idx="1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9-483A-BFE9-4FCE4F535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964335"/>
        <c:axId val="1449208111"/>
      </c:barChart>
      <c:dateAx>
        <c:axId val="1786964335"/>
        <c:scaling>
          <c:orientation val="minMax"/>
        </c:scaling>
        <c:delete val="0"/>
        <c:axPos val="b"/>
        <c:numFmt formatCode="yyyy&quot;년&quot;mm&quot;월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9208111"/>
        <c:crosses val="autoZero"/>
        <c:auto val="1"/>
        <c:lblOffset val="100"/>
        <c:baseTimeUnit val="months"/>
      </c:dateAx>
      <c:valAx>
        <c:axId val="144920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696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통신사별 가입자 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실습5!$B$5</c:f>
              <c:strCache>
                <c:ptCount val="1"/>
                <c:pt idx="0">
                  <c:v>인원수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37-485E-B046-D42AFD0BE5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37-485E-B046-D42AFD0BE5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37-485E-B046-D42AFD0BE5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F37-485E-B046-D42AFD0BE5F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실습5!$A$6:$A$9</c:f>
              <c:strCache>
                <c:ptCount val="4"/>
                <c:pt idx="0">
                  <c:v>KT</c:v>
                </c:pt>
                <c:pt idx="1">
                  <c:v>LGT</c:v>
                </c:pt>
                <c:pt idx="2">
                  <c:v>SKT</c:v>
                </c:pt>
                <c:pt idx="3">
                  <c:v>기타</c:v>
                </c:pt>
              </c:strCache>
            </c:strRef>
          </c:cat>
          <c:val>
            <c:numRef>
              <c:f>실습5!$B$6:$B$9</c:f>
              <c:numCache>
                <c:formatCode>General</c:formatCode>
                <c:ptCount val="4"/>
                <c:pt idx="0">
                  <c:v>8</c:v>
                </c:pt>
                <c:pt idx="1">
                  <c:v>3</c:v>
                </c:pt>
                <c:pt idx="2">
                  <c:v>11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F-4BBD-974D-A6733B7CD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290512</xdr:colOff>
      <xdr:row>7</xdr:row>
      <xdr:rowOff>209550</xdr:rowOff>
    </xdr:from>
    <xdr:to>
      <xdr:col>16</xdr:col>
      <xdr:colOff>290512</xdr:colOff>
      <xdr:row>17</xdr:row>
      <xdr:rowOff>209550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914C5E5-78DE-6743-7ABE-EF931166E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290512</xdr:colOff>
      <xdr:row>9</xdr:row>
      <xdr:rowOff>209550</xdr:rowOff>
    </xdr:from>
    <xdr:to>
      <xdr:col>15</xdr:col>
      <xdr:colOff>290512</xdr:colOff>
      <xdr:row>19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D61F2C6-F143-7A2C-D667-1772C34A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290512</xdr:colOff>
      <xdr:row>9</xdr:row>
      <xdr:rowOff>209550</xdr:rowOff>
    </xdr:from>
    <xdr:to>
      <xdr:col>17</xdr:col>
      <xdr:colOff>290512</xdr:colOff>
      <xdr:row>19</xdr:row>
      <xdr:rowOff>209550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EE2EB6-E3C9-4456-6FA3-3F059625F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683418</xdr:colOff>
      <xdr:row>0</xdr:row>
      <xdr:rowOff>419100</xdr:rowOff>
    </xdr:from>
    <xdr:to>
      <xdr:col>9</xdr:col>
      <xdr:colOff>454818</xdr:colOff>
      <xdr:row>13</xdr:row>
      <xdr:rowOff>161925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DE4005F-89F5-9121-4E9B-19EFB7A54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</xdr:colOff>
      <xdr:row>0</xdr:row>
      <xdr:rowOff>400050</xdr:rowOff>
    </xdr:from>
    <xdr:to>
      <xdr:col>16</xdr:col>
      <xdr:colOff>459581</xdr:colOff>
      <xdr:row>13</xdr:row>
      <xdr:rowOff>142875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5615F7D-EAB1-110A-3118-DD9EB0E98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92868</xdr:colOff>
      <xdr:row>5</xdr:row>
      <xdr:rowOff>204787</xdr:rowOff>
    </xdr:from>
    <xdr:to>
      <xdr:col>10</xdr:col>
      <xdr:colOff>288131</xdr:colOff>
      <xdr:row>18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2869437-944D-1CE2-5199-F11F12A0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83343</xdr:colOff>
      <xdr:row>4</xdr:row>
      <xdr:rowOff>47625</xdr:rowOff>
    </xdr:from>
    <xdr:to>
      <xdr:col>9</xdr:col>
      <xdr:colOff>626268</xdr:colOff>
      <xdr:row>17</xdr:row>
      <xdr:rowOff>4762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FF40E2D-51B8-9561-D0CA-0DBB8B396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816F-FF85-47F3-91BE-354DC2CE6D22}">
  <dimension ref="A1:I41"/>
  <sheetViews>
    <sheetView workbookViewId="0">
      <selection activeCell="I7" sqref="I7"/>
    </sheetView>
  </sheetViews>
  <sheetFormatPr defaultColWidth="8.8125" defaultRowHeight="16.899999999999999" x14ac:dyDescent="0.6"/>
  <cols>
    <col min="2" max="2" width="14.125" customWidth="1"/>
    <col min="5" max="5" width="12.3125" customWidth="1"/>
  </cols>
  <sheetData>
    <row r="1" spans="1:9" x14ac:dyDescent="0.6">
      <c r="A1" t="s">
        <v>15</v>
      </c>
      <c r="C1" t="s">
        <v>14</v>
      </c>
    </row>
    <row r="2" spans="1:9" x14ac:dyDescent="0.6">
      <c r="A2" s="3">
        <v>50</v>
      </c>
      <c r="E2" t="s">
        <v>10</v>
      </c>
    </row>
    <row r="3" spans="1:9" x14ac:dyDescent="0.6">
      <c r="A3" s="3">
        <v>31</v>
      </c>
    </row>
    <row r="4" spans="1:9" x14ac:dyDescent="0.6">
      <c r="A4" s="3">
        <v>36</v>
      </c>
      <c r="E4" t="s">
        <v>11</v>
      </c>
      <c r="F4" s="2">
        <f>SQRT(40)</f>
        <v>6.324555320336759</v>
      </c>
    </row>
    <row r="5" spans="1:9" x14ac:dyDescent="0.6">
      <c r="A5" s="3">
        <v>40</v>
      </c>
      <c r="E5" t="s">
        <v>12</v>
      </c>
      <c r="F5" s="9">
        <f>MAX(A2:A41)</f>
        <v>150</v>
      </c>
    </row>
    <row r="6" spans="1:9" x14ac:dyDescent="0.6">
      <c r="A6" s="3">
        <v>45</v>
      </c>
      <c r="E6" t="s">
        <v>13</v>
      </c>
      <c r="F6" s="9">
        <f>MIN(A2:A41)</f>
        <v>30</v>
      </c>
    </row>
    <row r="7" spans="1:9" ht="34.799999999999997" customHeight="1" thickBot="1" x14ac:dyDescent="0.65">
      <c r="A7" s="3">
        <v>60</v>
      </c>
      <c r="E7" s="8" t="s">
        <v>31</v>
      </c>
      <c r="F7" s="2">
        <v>20</v>
      </c>
    </row>
    <row r="8" spans="1:9" x14ac:dyDescent="0.6">
      <c r="A8" s="3">
        <v>76</v>
      </c>
      <c r="H8" s="10" t="s">
        <v>1</v>
      </c>
      <c r="I8" s="10" t="s">
        <v>2</v>
      </c>
    </row>
    <row r="9" spans="1:9" x14ac:dyDescent="0.6">
      <c r="A9" s="3">
        <v>100</v>
      </c>
      <c r="H9">
        <v>50</v>
      </c>
      <c r="I9">
        <v>19</v>
      </c>
    </row>
    <row r="10" spans="1:9" x14ac:dyDescent="0.6">
      <c r="A10" s="3">
        <v>78</v>
      </c>
      <c r="E10" t="s">
        <v>0</v>
      </c>
      <c r="F10" s="4">
        <v>50</v>
      </c>
      <c r="H10">
        <v>70</v>
      </c>
      <c r="I10">
        <v>8</v>
      </c>
    </row>
    <row r="11" spans="1:9" x14ac:dyDescent="0.6">
      <c r="A11" s="3">
        <v>40</v>
      </c>
      <c r="F11" s="4">
        <v>70</v>
      </c>
      <c r="H11">
        <v>90</v>
      </c>
      <c r="I11">
        <v>6</v>
      </c>
    </row>
    <row r="12" spans="1:9" x14ac:dyDescent="0.6">
      <c r="A12" s="3">
        <v>30</v>
      </c>
      <c r="F12" s="4">
        <v>90</v>
      </c>
      <c r="H12">
        <v>110</v>
      </c>
      <c r="I12">
        <v>4</v>
      </c>
    </row>
    <row r="13" spans="1:9" x14ac:dyDescent="0.6">
      <c r="A13" s="3">
        <v>50</v>
      </c>
      <c r="F13" s="4">
        <v>110</v>
      </c>
      <c r="H13">
        <v>130</v>
      </c>
      <c r="I13">
        <v>1</v>
      </c>
    </row>
    <row r="14" spans="1:9" x14ac:dyDescent="0.6">
      <c r="A14" s="3">
        <v>48</v>
      </c>
      <c r="F14" s="4">
        <v>130</v>
      </c>
      <c r="H14">
        <v>150</v>
      </c>
      <c r="I14">
        <v>2</v>
      </c>
    </row>
    <row r="15" spans="1:9" x14ac:dyDescent="0.6">
      <c r="A15" s="3">
        <v>40</v>
      </c>
      <c r="F15" s="4">
        <v>150</v>
      </c>
    </row>
    <row r="16" spans="1:9" x14ac:dyDescent="0.6">
      <c r="A16" s="3">
        <v>63</v>
      </c>
      <c r="F16" s="4"/>
    </row>
    <row r="17" spans="1:1" x14ac:dyDescent="0.6">
      <c r="A17" s="3">
        <v>150</v>
      </c>
    </row>
    <row r="18" spans="1:1" x14ac:dyDescent="0.6">
      <c r="A18" s="3">
        <v>70</v>
      </c>
    </row>
    <row r="19" spans="1:1" x14ac:dyDescent="0.6">
      <c r="A19" s="3">
        <v>32</v>
      </c>
    </row>
    <row r="20" spans="1:1" x14ac:dyDescent="0.6">
      <c r="A20" s="3">
        <v>38</v>
      </c>
    </row>
    <row r="21" spans="1:1" x14ac:dyDescent="0.6">
      <c r="A21" s="3">
        <v>50</v>
      </c>
    </row>
    <row r="22" spans="1:1" x14ac:dyDescent="0.6">
      <c r="A22" s="3">
        <v>150</v>
      </c>
    </row>
    <row r="23" spans="1:1" x14ac:dyDescent="0.6">
      <c r="A23" s="3">
        <v>110</v>
      </c>
    </row>
    <row r="24" spans="1:1" x14ac:dyDescent="0.6">
      <c r="A24" s="3">
        <v>60</v>
      </c>
    </row>
    <row r="25" spans="1:1" x14ac:dyDescent="0.6">
      <c r="A25" s="3">
        <v>60</v>
      </c>
    </row>
    <row r="26" spans="1:1" x14ac:dyDescent="0.6">
      <c r="A26" s="3">
        <v>30</v>
      </c>
    </row>
    <row r="27" spans="1:1" x14ac:dyDescent="0.6">
      <c r="A27" s="3">
        <v>50</v>
      </c>
    </row>
    <row r="28" spans="1:1" x14ac:dyDescent="0.6">
      <c r="A28" s="3">
        <v>80</v>
      </c>
    </row>
    <row r="29" spans="1:1" x14ac:dyDescent="0.6">
      <c r="A29" s="3">
        <v>40</v>
      </c>
    </row>
    <row r="30" spans="1:1" x14ac:dyDescent="0.6">
      <c r="A30" s="3">
        <v>110</v>
      </c>
    </row>
    <row r="31" spans="1:1" x14ac:dyDescent="0.6">
      <c r="A31" s="3">
        <v>55</v>
      </c>
    </row>
    <row r="32" spans="1:1" x14ac:dyDescent="0.6">
      <c r="A32" s="3">
        <v>50</v>
      </c>
    </row>
    <row r="33" spans="1:1" x14ac:dyDescent="0.6">
      <c r="A33" s="3">
        <v>60</v>
      </c>
    </row>
    <row r="34" spans="1:1" x14ac:dyDescent="0.6">
      <c r="A34" s="3">
        <v>80</v>
      </c>
    </row>
    <row r="35" spans="1:1" x14ac:dyDescent="0.6">
      <c r="A35" s="3">
        <v>33</v>
      </c>
    </row>
    <row r="36" spans="1:1" x14ac:dyDescent="0.6">
      <c r="A36" s="3">
        <v>120</v>
      </c>
    </row>
    <row r="37" spans="1:1" x14ac:dyDescent="0.6">
      <c r="A37" s="3">
        <v>65</v>
      </c>
    </row>
    <row r="38" spans="1:1" x14ac:dyDescent="0.6">
      <c r="A38" s="3">
        <v>90</v>
      </c>
    </row>
    <row r="39" spans="1:1" x14ac:dyDescent="0.6">
      <c r="A39" s="3">
        <v>30</v>
      </c>
    </row>
    <row r="40" spans="1:1" x14ac:dyDescent="0.6">
      <c r="A40" s="3">
        <v>100</v>
      </c>
    </row>
    <row r="41" spans="1:1" x14ac:dyDescent="0.6">
      <c r="A41" s="3">
        <v>80</v>
      </c>
    </row>
  </sheetData>
  <sortState xmlns:xlrd2="http://schemas.microsoft.com/office/spreadsheetml/2017/richdata2" ref="H9:H14">
    <sortCondition ref="H9"/>
  </sortState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7761-ECC5-49D6-ACC9-949D277C94E0}">
  <dimension ref="A1:H45"/>
  <sheetViews>
    <sheetView workbookViewId="0">
      <selection activeCell="I19" sqref="I19"/>
    </sheetView>
  </sheetViews>
  <sheetFormatPr defaultRowHeight="16.899999999999999" x14ac:dyDescent="0.6"/>
  <cols>
    <col min="4" max="4" width="14.1875" customWidth="1"/>
    <col min="5" max="5" width="9.875" bestFit="1" customWidth="1"/>
  </cols>
  <sheetData>
    <row r="1" spans="1:8" x14ac:dyDescent="0.6">
      <c r="A1" s="14" t="s">
        <v>3</v>
      </c>
      <c r="B1" s="15"/>
      <c r="C1" s="15"/>
      <c r="D1" s="15"/>
      <c r="E1" s="15"/>
      <c r="F1" s="15"/>
      <c r="G1" s="15"/>
    </row>
    <row r="2" spans="1:8" x14ac:dyDescent="0.6">
      <c r="A2" s="15"/>
      <c r="B2" s="15"/>
      <c r="C2" s="15"/>
      <c r="D2" s="15"/>
      <c r="E2" s="15"/>
      <c r="F2" s="15"/>
      <c r="G2" s="15"/>
    </row>
    <row r="3" spans="1:8" x14ac:dyDescent="0.6">
      <c r="A3" s="15"/>
      <c r="B3" s="15"/>
      <c r="C3" s="15"/>
      <c r="D3" s="15"/>
      <c r="E3" s="15"/>
      <c r="F3" s="15"/>
      <c r="G3" s="15"/>
    </row>
    <row r="4" spans="1:8" x14ac:dyDescent="0.6">
      <c r="A4" s="12"/>
      <c r="B4" s="12"/>
      <c r="C4" s="12"/>
      <c r="D4" s="12"/>
      <c r="E4" s="12"/>
      <c r="F4" s="12"/>
      <c r="G4" s="12"/>
    </row>
    <row r="6" spans="1:8" x14ac:dyDescent="0.6">
      <c r="A6">
        <v>60</v>
      </c>
      <c r="D6" t="s">
        <v>32</v>
      </c>
      <c r="E6">
        <f>SQRT(40)</f>
        <v>6.324555320336759</v>
      </c>
    </row>
    <row r="7" spans="1:8" x14ac:dyDescent="0.6">
      <c r="A7">
        <v>30</v>
      </c>
      <c r="D7" t="s">
        <v>33</v>
      </c>
      <c r="E7" s="1">
        <f>MAX(A6:A45)</f>
        <v>110</v>
      </c>
    </row>
    <row r="8" spans="1:8" x14ac:dyDescent="0.6">
      <c r="A8">
        <v>15</v>
      </c>
      <c r="D8" t="s">
        <v>34</v>
      </c>
      <c r="E8">
        <f>MIN(A6:A45)</f>
        <v>15</v>
      </c>
    </row>
    <row r="9" spans="1:8" ht="17.25" thickBot="1" x14ac:dyDescent="0.65">
      <c r="A9">
        <v>90</v>
      </c>
      <c r="D9" t="s">
        <v>35</v>
      </c>
      <c r="E9" s="11">
        <f>(E7-E8)/E6</f>
        <v>15.020818885799802</v>
      </c>
    </row>
    <row r="10" spans="1:8" x14ac:dyDescent="0.6">
      <c r="A10">
        <v>40</v>
      </c>
      <c r="E10" s="2"/>
      <c r="G10" s="10" t="s">
        <v>1</v>
      </c>
      <c r="H10" s="10" t="s">
        <v>2</v>
      </c>
    </row>
    <row r="11" spans="1:8" x14ac:dyDescent="0.6">
      <c r="A11">
        <v>50</v>
      </c>
      <c r="D11" t="s">
        <v>36</v>
      </c>
      <c r="E11">
        <v>30</v>
      </c>
      <c r="G11">
        <v>30</v>
      </c>
      <c r="H11">
        <v>9</v>
      </c>
    </row>
    <row r="12" spans="1:8" x14ac:dyDescent="0.6">
      <c r="A12">
        <v>60</v>
      </c>
      <c r="E12">
        <v>45</v>
      </c>
      <c r="G12">
        <v>45</v>
      </c>
      <c r="H12">
        <v>8</v>
      </c>
    </row>
    <row r="13" spans="1:8" x14ac:dyDescent="0.6">
      <c r="A13">
        <v>20</v>
      </c>
      <c r="E13">
        <v>60</v>
      </c>
      <c r="G13">
        <v>60</v>
      </c>
      <c r="H13">
        <v>14</v>
      </c>
    </row>
    <row r="14" spans="1:8" x14ac:dyDescent="0.6">
      <c r="A14">
        <v>90</v>
      </c>
      <c r="E14">
        <v>75</v>
      </c>
      <c r="G14">
        <v>75</v>
      </c>
      <c r="H14">
        <v>1</v>
      </c>
    </row>
    <row r="15" spans="1:8" x14ac:dyDescent="0.6">
      <c r="A15">
        <v>100</v>
      </c>
      <c r="E15">
        <v>90</v>
      </c>
      <c r="G15">
        <v>90</v>
      </c>
      <c r="H15">
        <v>5</v>
      </c>
    </row>
    <row r="16" spans="1:8" x14ac:dyDescent="0.6">
      <c r="A16">
        <v>110</v>
      </c>
      <c r="E16">
        <v>105</v>
      </c>
      <c r="G16">
        <v>105</v>
      </c>
      <c r="H16">
        <v>2</v>
      </c>
    </row>
    <row r="17" spans="1:8" x14ac:dyDescent="0.6">
      <c r="A17">
        <v>40</v>
      </c>
      <c r="E17">
        <v>120</v>
      </c>
      <c r="G17">
        <v>120</v>
      </c>
      <c r="H17">
        <v>1</v>
      </c>
    </row>
    <row r="18" spans="1:8" x14ac:dyDescent="0.6">
      <c r="A18">
        <v>50</v>
      </c>
    </row>
    <row r="19" spans="1:8" x14ac:dyDescent="0.6">
      <c r="A19">
        <v>60</v>
      </c>
    </row>
    <row r="20" spans="1:8" x14ac:dyDescent="0.6">
      <c r="A20">
        <v>40</v>
      </c>
    </row>
    <row r="21" spans="1:8" x14ac:dyDescent="0.6">
      <c r="A21">
        <v>50</v>
      </c>
    </row>
    <row r="22" spans="1:8" x14ac:dyDescent="0.6">
      <c r="A22">
        <v>60</v>
      </c>
    </row>
    <row r="23" spans="1:8" x14ac:dyDescent="0.6">
      <c r="A23">
        <v>80</v>
      </c>
    </row>
    <row r="24" spans="1:8" x14ac:dyDescent="0.6">
      <c r="A24">
        <v>40</v>
      </c>
    </row>
    <row r="25" spans="1:8" x14ac:dyDescent="0.6">
      <c r="A25">
        <v>35</v>
      </c>
    </row>
    <row r="26" spans="1:8" x14ac:dyDescent="0.6">
      <c r="A26">
        <v>20</v>
      </c>
    </row>
    <row r="27" spans="1:8" x14ac:dyDescent="0.6">
      <c r="A27">
        <v>30</v>
      </c>
    </row>
    <row r="28" spans="1:8" x14ac:dyDescent="0.6">
      <c r="A28">
        <v>100</v>
      </c>
    </row>
    <row r="29" spans="1:8" x14ac:dyDescent="0.6">
      <c r="A29">
        <v>80</v>
      </c>
    </row>
    <row r="30" spans="1:8" x14ac:dyDescent="0.6">
      <c r="A30">
        <v>40</v>
      </c>
    </row>
    <row r="31" spans="1:8" x14ac:dyDescent="0.6">
      <c r="A31">
        <v>50</v>
      </c>
    </row>
    <row r="32" spans="1:8" x14ac:dyDescent="0.6">
      <c r="A32">
        <v>60</v>
      </c>
    </row>
    <row r="33" spans="1:1" x14ac:dyDescent="0.6">
      <c r="A33">
        <v>60</v>
      </c>
    </row>
    <row r="34" spans="1:1" x14ac:dyDescent="0.6">
      <c r="A34">
        <v>30</v>
      </c>
    </row>
    <row r="35" spans="1:1" x14ac:dyDescent="0.6">
      <c r="A35">
        <v>50</v>
      </c>
    </row>
    <row r="36" spans="1:1" x14ac:dyDescent="0.6">
      <c r="A36">
        <v>40</v>
      </c>
    </row>
    <row r="37" spans="1:1" x14ac:dyDescent="0.6">
      <c r="A37">
        <v>30</v>
      </c>
    </row>
    <row r="38" spans="1:1" x14ac:dyDescent="0.6">
      <c r="A38">
        <v>80</v>
      </c>
    </row>
    <row r="39" spans="1:1" x14ac:dyDescent="0.6">
      <c r="A39">
        <v>60</v>
      </c>
    </row>
    <row r="40" spans="1:1" x14ac:dyDescent="0.6">
      <c r="A40">
        <v>70</v>
      </c>
    </row>
    <row r="41" spans="1:1" x14ac:dyDescent="0.6">
      <c r="A41">
        <v>60</v>
      </c>
    </row>
    <row r="42" spans="1:1" x14ac:dyDescent="0.6">
      <c r="A42">
        <v>50</v>
      </c>
    </row>
    <row r="43" spans="1:1" x14ac:dyDescent="0.6">
      <c r="A43">
        <v>30</v>
      </c>
    </row>
    <row r="44" spans="1:1" x14ac:dyDescent="0.6">
      <c r="A44">
        <v>20</v>
      </c>
    </row>
    <row r="45" spans="1:1" x14ac:dyDescent="0.6">
      <c r="A45">
        <v>40</v>
      </c>
    </row>
  </sheetData>
  <sortState xmlns:xlrd2="http://schemas.microsoft.com/office/spreadsheetml/2017/richdata2" ref="G11:G17">
    <sortCondition ref="G11"/>
  </sortState>
  <mergeCells count="1">
    <mergeCell ref="A1:G4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142B-865F-48E9-A671-0BE61763FAB6}">
  <dimension ref="A1:J15"/>
  <sheetViews>
    <sheetView topLeftCell="E1" workbookViewId="0">
      <selection activeCell="I15" sqref="I15:J15"/>
    </sheetView>
  </sheetViews>
  <sheetFormatPr defaultRowHeight="16.899999999999999" x14ac:dyDescent="0.6"/>
  <cols>
    <col min="6" max="6" width="11.1875" customWidth="1"/>
  </cols>
  <sheetData>
    <row r="1" spans="1:10" x14ac:dyDescent="0.6">
      <c r="A1" s="16" t="s">
        <v>16</v>
      </c>
      <c r="B1" s="15"/>
      <c r="C1" s="15"/>
      <c r="D1" s="15"/>
      <c r="E1" s="15"/>
      <c r="F1" s="15"/>
      <c r="G1" s="15"/>
    </row>
    <row r="2" spans="1:10" x14ac:dyDescent="0.6">
      <c r="A2" s="15"/>
      <c r="B2" s="15"/>
      <c r="C2" s="15"/>
      <c r="D2" s="15"/>
      <c r="E2" s="15"/>
      <c r="F2" s="15"/>
      <c r="G2" s="15"/>
    </row>
    <row r="3" spans="1:10" x14ac:dyDescent="0.6">
      <c r="A3" s="15"/>
      <c r="B3" s="15"/>
      <c r="C3" s="15"/>
      <c r="D3" s="15"/>
      <c r="E3" s="15"/>
      <c r="F3" s="15"/>
      <c r="G3" s="15"/>
    </row>
    <row r="4" spans="1:10" x14ac:dyDescent="0.6">
      <c r="A4" s="12"/>
      <c r="B4" s="12"/>
      <c r="C4" s="12"/>
      <c r="D4" s="12"/>
      <c r="E4" s="12"/>
      <c r="F4" s="12"/>
      <c r="G4" s="12"/>
    </row>
    <row r="6" spans="1:10" x14ac:dyDescent="0.6">
      <c r="A6">
        <v>2</v>
      </c>
      <c r="B6">
        <v>3</v>
      </c>
      <c r="C6">
        <v>4</v>
      </c>
      <c r="F6" t="s">
        <v>37</v>
      </c>
      <c r="G6" s="1">
        <f>SQRT(30)</f>
        <v>5.4772255750516612</v>
      </c>
    </row>
    <row r="7" spans="1:10" x14ac:dyDescent="0.6">
      <c r="A7">
        <v>5</v>
      </c>
      <c r="B7">
        <v>4</v>
      </c>
      <c r="C7">
        <v>7</v>
      </c>
      <c r="F7" t="s">
        <v>38</v>
      </c>
      <c r="G7" s="2">
        <f>MAX(A6:C15)</f>
        <v>12</v>
      </c>
    </row>
    <row r="8" spans="1:10" x14ac:dyDescent="0.6">
      <c r="A8">
        <v>2</v>
      </c>
      <c r="B8">
        <v>5</v>
      </c>
      <c r="C8">
        <v>5</v>
      </c>
      <c r="F8" t="s">
        <v>39</v>
      </c>
      <c r="G8">
        <f>MIN(A6:C15)</f>
        <v>2</v>
      </c>
    </row>
    <row r="9" spans="1:10" ht="17.25" thickBot="1" x14ac:dyDescent="0.65">
      <c r="A9">
        <v>3</v>
      </c>
      <c r="B9">
        <v>5</v>
      </c>
      <c r="C9">
        <v>6</v>
      </c>
      <c r="F9" t="s">
        <v>40</v>
      </c>
      <c r="G9" s="2">
        <f>(G7-G8)/G6</f>
        <v>1.8257418583505538</v>
      </c>
    </row>
    <row r="10" spans="1:10" x14ac:dyDescent="0.6">
      <c r="A10">
        <v>7</v>
      </c>
      <c r="B10">
        <v>6</v>
      </c>
      <c r="C10">
        <v>7</v>
      </c>
      <c r="I10" s="10" t="s">
        <v>1</v>
      </c>
      <c r="J10" s="10" t="s">
        <v>2</v>
      </c>
    </row>
    <row r="11" spans="1:10" x14ac:dyDescent="0.6">
      <c r="A11">
        <v>10</v>
      </c>
      <c r="B11">
        <v>2</v>
      </c>
      <c r="C11">
        <v>7</v>
      </c>
      <c r="F11" t="s">
        <v>41</v>
      </c>
      <c r="G11">
        <v>4</v>
      </c>
      <c r="I11">
        <v>4</v>
      </c>
      <c r="J11">
        <v>11</v>
      </c>
    </row>
    <row r="12" spans="1:10" x14ac:dyDescent="0.6">
      <c r="A12">
        <v>12</v>
      </c>
      <c r="B12">
        <v>4</v>
      </c>
      <c r="C12">
        <v>9</v>
      </c>
      <c r="G12">
        <v>6</v>
      </c>
      <c r="I12">
        <v>6</v>
      </c>
      <c r="J12">
        <v>9</v>
      </c>
    </row>
    <row r="13" spans="1:10" x14ac:dyDescent="0.6">
      <c r="A13">
        <v>8</v>
      </c>
      <c r="B13">
        <v>11</v>
      </c>
      <c r="C13">
        <v>4</v>
      </c>
      <c r="G13">
        <v>8</v>
      </c>
      <c r="I13">
        <v>8</v>
      </c>
      <c r="J13">
        <v>6</v>
      </c>
    </row>
    <row r="14" spans="1:10" x14ac:dyDescent="0.6">
      <c r="A14">
        <v>2</v>
      </c>
      <c r="B14">
        <v>8</v>
      </c>
      <c r="C14">
        <v>5</v>
      </c>
      <c r="G14">
        <v>10</v>
      </c>
      <c r="I14">
        <v>10</v>
      </c>
      <c r="J14">
        <v>2</v>
      </c>
    </row>
    <row r="15" spans="1:10" x14ac:dyDescent="0.6">
      <c r="A15">
        <v>5</v>
      </c>
      <c r="B15">
        <v>3</v>
      </c>
      <c r="C15">
        <v>6</v>
      </c>
      <c r="G15">
        <v>12</v>
      </c>
      <c r="I15">
        <v>12</v>
      </c>
      <c r="J15">
        <v>2</v>
      </c>
    </row>
  </sheetData>
  <sortState xmlns:xlrd2="http://schemas.microsoft.com/office/spreadsheetml/2017/richdata2" ref="I11:I15">
    <sortCondition ref="I11"/>
  </sortState>
  <mergeCells count="1">
    <mergeCell ref="A1:G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1C07-8DB3-4E4C-8EA3-9DB6F93A3F39}">
  <dimension ref="A1:B6"/>
  <sheetViews>
    <sheetView workbookViewId="0">
      <selection activeCell="M20" sqref="M20"/>
    </sheetView>
  </sheetViews>
  <sheetFormatPr defaultRowHeight="16.899999999999999" x14ac:dyDescent="0.6"/>
  <sheetData>
    <row r="1" spans="1:2" ht="33.75" x14ac:dyDescent="0.6">
      <c r="A1" s="5" t="s">
        <v>17</v>
      </c>
      <c r="B1" s="6" t="s">
        <v>4</v>
      </c>
    </row>
    <row r="2" spans="1:2" x14ac:dyDescent="0.6">
      <c r="A2" t="s">
        <v>5</v>
      </c>
      <c r="B2">
        <v>40</v>
      </c>
    </row>
    <row r="3" spans="1:2" x14ac:dyDescent="0.6">
      <c r="A3" t="s">
        <v>6</v>
      </c>
      <c r="B3">
        <v>22</v>
      </c>
    </row>
    <row r="4" spans="1:2" x14ac:dyDescent="0.6">
      <c r="A4" t="s">
        <v>7</v>
      </c>
      <c r="B4">
        <v>15</v>
      </c>
    </row>
    <row r="5" spans="1:2" x14ac:dyDescent="0.6">
      <c r="A5" t="s">
        <v>8</v>
      </c>
      <c r="B5">
        <v>13</v>
      </c>
    </row>
    <row r="6" spans="1:2" x14ac:dyDescent="0.6">
      <c r="A6" t="s">
        <v>9</v>
      </c>
      <c r="B6">
        <v>10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A382-852C-48ED-A521-1C7EF762279D}">
  <dimension ref="A1:H22"/>
  <sheetViews>
    <sheetView workbookViewId="0">
      <selection activeCell="D22" sqref="D22"/>
    </sheetView>
  </sheetViews>
  <sheetFormatPr defaultColWidth="8.8125" defaultRowHeight="16.899999999999999" x14ac:dyDescent="0.6"/>
  <cols>
    <col min="1" max="1" width="11.375" bestFit="1" customWidth="1"/>
    <col min="8" max="8" width="13.375" customWidth="1"/>
  </cols>
  <sheetData>
    <row r="1" spans="1:8" x14ac:dyDescent="0.6">
      <c r="A1" s="12" t="s">
        <v>29</v>
      </c>
      <c r="B1" s="12"/>
      <c r="C1" s="12"/>
      <c r="D1" s="12"/>
      <c r="E1" s="12"/>
      <c r="F1" s="12"/>
      <c r="G1" s="12"/>
      <c r="H1" s="12"/>
    </row>
    <row r="2" spans="1:8" x14ac:dyDescent="0.6">
      <c r="A2" s="12"/>
      <c r="B2" s="12"/>
      <c r="C2" s="12"/>
      <c r="D2" s="12"/>
      <c r="E2" s="12"/>
      <c r="F2" s="12"/>
      <c r="G2" s="12"/>
      <c r="H2" s="12"/>
    </row>
    <row r="3" spans="1:8" x14ac:dyDescent="0.6">
      <c r="A3" s="12"/>
      <c r="B3" s="12"/>
      <c r="C3" s="12"/>
      <c r="D3" s="12"/>
      <c r="E3" s="12"/>
      <c r="F3" s="12"/>
      <c r="G3" s="12"/>
      <c r="H3" s="12"/>
    </row>
    <row r="4" spans="1:8" x14ac:dyDescent="0.6">
      <c r="A4" t="s">
        <v>18</v>
      </c>
    </row>
    <row r="5" spans="1:8" x14ac:dyDescent="0.6">
      <c r="B5" t="s">
        <v>19</v>
      </c>
      <c r="C5" t="s">
        <v>20</v>
      </c>
    </row>
    <row r="6" spans="1:8" x14ac:dyDescent="0.6">
      <c r="A6" s="7">
        <v>43831</v>
      </c>
      <c r="B6">
        <v>12</v>
      </c>
    </row>
    <row r="7" spans="1:8" x14ac:dyDescent="0.6">
      <c r="A7" s="7">
        <v>43862</v>
      </c>
      <c r="B7">
        <v>3514</v>
      </c>
      <c r="C7">
        <v>17</v>
      </c>
    </row>
    <row r="8" spans="1:8" x14ac:dyDescent="0.6">
      <c r="A8" s="7">
        <v>43891</v>
      </c>
      <c r="B8">
        <v>6361</v>
      </c>
      <c r="C8">
        <v>148</v>
      </c>
    </row>
    <row r="9" spans="1:8" x14ac:dyDescent="0.6">
      <c r="A9" s="7">
        <v>43922</v>
      </c>
      <c r="B9">
        <v>887</v>
      </c>
      <c r="C9">
        <v>83</v>
      </c>
    </row>
    <row r="10" spans="1:8" x14ac:dyDescent="0.6">
      <c r="A10" s="7">
        <v>43952</v>
      </c>
      <c r="B10">
        <v>729</v>
      </c>
      <c r="C10">
        <v>23</v>
      </c>
    </row>
    <row r="11" spans="1:8" x14ac:dyDescent="0.6">
      <c r="A11" s="7">
        <v>43983</v>
      </c>
      <c r="B11">
        <v>1347</v>
      </c>
      <c r="C11">
        <v>11</v>
      </c>
    </row>
    <row r="12" spans="1:8" x14ac:dyDescent="0.6">
      <c r="A12" s="7">
        <v>44013</v>
      </c>
      <c r="B12">
        <v>1486</v>
      </c>
      <c r="C12">
        <v>19</v>
      </c>
    </row>
    <row r="13" spans="1:8" x14ac:dyDescent="0.6">
      <c r="A13" s="7">
        <v>44044</v>
      </c>
      <c r="B13">
        <v>5846</v>
      </c>
      <c r="C13">
        <v>23</v>
      </c>
    </row>
    <row r="14" spans="1:8" x14ac:dyDescent="0.6">
      <c r="A14" s="7">
        <v>44075</v>
      </c>
      <c r="B14">
        <v>3707</v>
      </c>
      <c r="C14">
        <v>91</v>
      </c>
    </row>
    <row r="15" spans="1:8" x14ac:dyDescent="0.6">
      <c r="A15" s="7">
        <v>44105</v>
      </c>
      <c r="B15">
        <v>2746</v>
      </c>
      <c r="C15">
        <v>51</v>
      </c>
    </row>
    <row r="16" spans="1:8" x14ac:dyDescent="0.6">
      <c r="A16" s="7">
        <v>44136</v>
      </c>
      <c r="B16">
        <v>8017</v>
      </c>
      <c r="C16">
        <v>60</v>
      </c>
    </row>
    <row r="17" spans="1:3" x14ac:dyDescent="0.6">
      <c r="A17" s="7">
        <v>44166</v>
      </c>
      <c r="B17">
        <v>27117</v>
      </c>
      <c r="C17">
        <v>391</v>
      </c>
    </row>
    <row r="18" spans="1:3" x14ac:dyDescent="0.6">
      <c r="A18" s="7">
        <v>44197</v>
      </c>
      <c r="B18">
        <v>16739</v>
      </c>
      <c r="C18">
        <v>508</v>
      </c>
    </row>
    <row r="19" spans="1:3" x14ac:dyDescent="0.6">
      <c r="A19" s="7">
        <v>44228</v>
      </c>
      <c r="B19">
        <v>11543</v>
      </c>
      <c r="C19">
        <v>180</v>
      </c>
    </row>
    <row r="20" spans="1:3" x14ac:dyDescent="0.6">
      <c r="A20" s="7">
        <v>44256</v>
      </c>
      <c r="B20">
        <v>13588</v>
      </c>
      <c r="C20">
        <v>130</v>
      </c>
    </row>
    <row r="22" spans="1:3" x14ac:dyDescent="0.6">
      <c r="A22" t="s">
        <v>21</v>
      </c>
    </row>
  </sheetData>
  <mergeCells count="1">
    <mergeCell ref="A1:H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5689-E2FA-457E-8301-11D5C801C7EB}">
  <dimension ref="A1:H10"/>
  <sheetViews>
    <sheetView tabSelected="1" workbookViewId="0">
      <selection activeCell="M10" sqref="M10"/>
    </sheetView>
  </sheetViews>
  <sheetFormatPr defaultColWidth="8.8125" defaultRowHeight="16.899999999999999" x14ac:dyDescent="0.6"/>
  <sheetData>
    <row r="1" spans="1:8" x14ac:dyDescent="0.6">
      <c r="A1" s="12" t="s">
        <v>30</v>
      </c>
      <c r="B1" s="13"/>
      <c r="C1" s="13"/>
      <c r="D1" s="13"/>
      <c r="E1" s="13"/>
      <c r="F1" s="13"/>
      <c r="G1" s="13"/>
      <c r="H1" s="13"/>
    </row>
    <row r="2" spans="1:8" x14ac:dyDescent="0.6">
      <c r="A2" s="13"/>
      <c r="B2" s="13"/>
      <c r="C2" s="13"/>
      <c r="D2" s="13"/>
      <c r="E2" s="13"/>
      <c r="F2" s="13"/>
      <c r="G2" s="13"/>
      <c r="H2" s="13"/>
    </row>
    <row r="3" spans="1:8" x14ac:dyDescent="0.6">
      <c r="A3" s="13"/>
      <c r="B3" s="13"/>
      <c r="C3" s="13"/>
      <c r="D3" s="13"/>
      <c r="E3" s="13"/>
      <c r="F3" s="13"/>
      <c r="G3" s="13"/>
      <c r="H3" s="13"/>
    </row>
    <row r="5" spans="1:8" x14ac:dyDescent="0.6">
      <c r="A5" t="s">
        <v>28</v>
      </c>
      <c r="B5" t="s">
        <v>27</v>
      </c>
    </row>
    <row r="6" spans="1:8" x14ac:dyDescent="0.6">
      <c r="A6" t="s">
        <v>26</v>
      </c>
      <c r="B6">
        <v>8</v>
      </c>
    </row>
    <row r="7" spans="1:8" x14ac:dyDescent="0.6">
      <c r="A7" t="s">
        <v>25</v>
      </c>
      <c r="B7">
        <v>3</v>
      </c>
    </row>
    <row r="8" spans="1:8" x14ac:dyDescent="0.6">
      <c r="A8" t="s">
        <v>24</v>
      </c>
      <c r="B8">
        <v>11</v>
      </c>
    </row>
    <row r="9" spans="1:8" x14ac:dyDescent="0.6">
      <c r="A9" t="s">
        <v>23</v>
      </c>
      <c r="B9">
        <v>5</v>
      </c>
    </row>
    <row r="10" spans="1:8" x14ac:dyDescent="0.6">
      <c r="A10" t="s">
        <v>22</v>
      </c>
      <c r="B10">
        <f>SUM(B6:B9)</f>
        <v>27</v>
      </c>
    </row>
  </sheetData>
  <mergeCells count="1">
    <mergeCell ref="A1:H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예제1</vt:lpstr>
      <vt:lpstr>실습1</vt:lpstr>
      <vt:lpstr>실습2</vt:lpstr>
      <vt:lpstr>예제2</vt:lpstr>
      <vt:lpstr>실습4</vt:lpstr>
      <vt:lpstr>실습5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변하연</cp:lastModifiedBy>
  <dcterms:created xsi:type="dcterms:W3CDTF">2024-09-12T13:24:40Z</dcterms:created>
  <dcterms:modified xsi:type="dcterms:W3CDTF">2026-09-07T06:04:43Z</dcterms:modified>
</cp:coreProperties>
</file>